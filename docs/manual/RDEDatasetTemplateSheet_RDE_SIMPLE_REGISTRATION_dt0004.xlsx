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SIMPLE_REGISTRATION/templates/dt0004/"/>
    </mc:Choice>
  </mc:AlternateContent>
  <xr:revisionPtr revIDLastSave="0" documentId="13_ncr:1_{CC39F21D-2154-B34C-BDA6-A8B1D2F46F88}" xr6:coauthVersionLast="47" xr6:coauthVersionMax="47" xr10:uidLastSave="{00000000-0000-0000-0000-000000000000}"/>
  <bookViews>
    <workbookView xWindow="38660" yWindow="216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8" l="1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K5" i="6"/>
  <c r="L5" i="6"/>
  <c r="K6" i="6"/>
  <c r="L6" i="6"/>
  <c r="K7" i="6"/>
  <c r="L7" i="6"/>
  <c r="K8" i="6"/>
  <c r="L8" i="6"/>
  <c r="K9" i="6"/>
  <c r="L9" i="6"/>
  <c r="K10" i="6"/>
  <c r="L10" i="6"/>
  <c r="N18" i="8"/>
  <c r="O18" i="8"/>
  <c r="P18" i="8"/>
  <c r="K4" i="6"/>
  <c r="K11" i="6"/>
  <c r="K3" i="6"/>
  <c r="B3" i="7"/>
  <c r="B3" i="8"/>
  <c r="B5" i="7"/>
  <c r="B4" i="7"/>
  <c r="B2" i="7"/>
  <c r="B2" i="8"/>
  <c r="C2" i="10"/>
  <c r="V34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6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11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30" i="8" l="1"/>
  <c r="F28" i="8"/>
  <c r="G27" i="8"/>
  <c r="U34" i="8"/>
  <c r="V33" i="8"/>
  <c r="D29" i="8"/>
  <c r="F27" i="8"/>
  <c r="U33" i="8"/>
  <c r="V32" i="8"/>
  <c r="D28" i="8"/>
  <c r="G26" i="8"/>
  <c r="U32" i="8"/>
  <c r="V31" i="8"/>
  <c r="D27" i="8"/>
  <c r="F26" i="8"/>
  <c r="G34" i="8"/>
  <c r="U31" i="8"/>
  <c r="V30" i="8"/>
  <c r="L2" i="12"/>
  <c r="F34" i="8"/>
  <c r="G33" i="8"/>
  <c r="U30" i="8"/>
  <c r="V29" i="8"/>
  <c r="L36" i="12"/>
  <c r="D26" i="8"/>
  <c r="F33" i="8"/>
  <c r="G32" i="8"/>
  <c r="U29" i="8"/>
  <c r="V28" i="8"/>
  <c r="D34" i="8"/>
  <c r="F32" i="8"/>
  <c r="G31" i="8"/>
  <c r="U28" i="8"/>
  <c r="V27" i="8"/>
  <c r="D33" i="8"/>
  <c r="F31" i="8"/>
  <c r="G30" i="8"/>
  <c r="U27" i="8"/>
  <c r="D32" i="8"/>
  <c r="F30" i="8"/>
  <c r="G29" i="8"/>
  <c r="D31" i="8"/>
  <c r="F29" i="8"/>
  <c r="G28" i="8"/>
  <c r="U26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1" i="8" l="1"/>
  <c r="U42" i="8"/>
  <c r="F36" i="8"/>
  <c r="D39" i="8"/>
  <c r="V42" i="8"/>
  <c r="U43" i="8"/>
  <c r="G36" i="8"/>
  <c r="F37" i="8"/>
  <c r="D40" i="8"/>
  <c r="V43" i="8"/>
  <c r="U35" i="8"/>
  <c r="G37" i="8"/>
  <c r="F38" i="8"/>
  <c r="D41" i="8"/>
  <c r="V35" i="8"/>
  <c r="G38" i="8"/>
  <c r="F39" i="8"/>
  <c r="D42" i="8"/>
  <c r="U36" i="8"/>
  <c r="G39" i="8"/>
  <c r="F40" i="8"/>
  <c r="D43" i="8"/>
  <c r="V36" i="8"/>
  <c r="U37" i="8"/>
  <c r="G40" i="8"/>
  <c r="F41" i="8"/>
  <c r="D35" i="8"/>
  <c r="V37" i="8"/>
  <c r="U38" i="8"/>
  <c r="G41" i="8"/>
  <c r="F42" i="8"/>
  <c r="V38" i="8"/>
  <c r="U39" i="8"/>
  <c r="G42" i="8"/>
  <c r="F43" i="8"/>
  <c r="D36" i="8"/>
  <c r="V39" i="8"/>
  <c r="U40" i="8"/>
  <c r="G43" i="8"/>
  <c r="F35" i="8"/>
  <c r="D37" i="8"/>
  <c r="V40" i="8"/>
  <c r="U41" i="8"/>
  <c r="G35" i="8"/>
  <c r="D38" i="8"/>
</calcChain>
</file>

<file path=xl/sharedStrings.xml><?xml version="1.0" encoding="utf-8"?>
<sst xmlns="http://schemas.openxmlformats.org/spreadsheetml/2006/main" count="2528" uniqueCount="1496">
  <si>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</si>
  <si>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</si>
  <si>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</si>
  <si>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</si>
  <si>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</si>
  <si>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</si>
  <si>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</si>
  <si>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</si>
  <si>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</si>
  <si>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</si>
  <si>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</si>
  <si>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</si>
  <si>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</si>
  <si>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</si>
  <si>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</si>
  <si>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</si>
  <si>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</si>
  <si>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</si>
  <si>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</si>
  <si>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</si>
  <si>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</si>
  <si>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</si>
  <si>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</si>
  <si>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</si>
  <si>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</si>
  <si>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</si>
  <si>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</si>
  <si>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</si>
  <si>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</si>
  <si>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</si>
  <si>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</si>
  <si>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</si>
  <si>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</si>
  <si>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</si>
  <si>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</si>
  <si>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</si>
  <si>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</si>
  <si>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</si>
  <si>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</si>
  <si>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</si>
  <si>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</si>
  <si>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</si>
  <si>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</si>
  <si>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</si>
  <si>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</si>
  <si>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</si>
  <si>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</si>
  <si>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</si>
  <si>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</si>
  <si>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</si>
  <si>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</si>
  <si>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</si>
  <si>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</si>
  <si>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</si>
  <si>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</si>
  <si>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</si>
  <si>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</si>
  <si>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</si>
  <si>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</si>
  <si>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</si>
  <si>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</si>
  <si>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</si>
  <si>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</si>
  <si>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</si>
  <si>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</si>
  <si>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</si>
  <si>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</si>
  <si>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</si>
  <si>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</si>
  <si>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</si>
  <si>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</si>
  <si>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</si>
  <si>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</si>
  <si>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</si>
  <si>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</si>
  <si>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</si>
  <si>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</si>
  <si>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</si>
  <si>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</si>
  <si>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</si>
  <si>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</si>
  <si>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</si>
  <si>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</si>
  <si>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</si>
  <si>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</si>
  <si>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</si>
  <si>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</si>
  <si>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</si>
  <si>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</si>
  <si>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</si>
  <si>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</si>
  <si>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</si>
  <si>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</si>
  <si>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</si>
  <si>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</si>
  <si>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</si>
  <si>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</si>
  <si>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</si>
  <si>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</si>
  <si>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</si>
  <si>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</si>
  <si>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</si>
  <si>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</si>
  <si>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</si>
  <si>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</si>
  <si>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</si>
  <si>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</si>
  <si>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</si>
  <si>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</si>
  <si>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</si>
  <si>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</si>
  <si>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</si>
  <si>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</si>
  <si>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</si>
  <si>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</si>
  <si>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</si>
  <si>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</si>
  <si>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</si>
  <si>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</si>
  <si>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</si>
  <si>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</si>
  <si>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</si>
  <si>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</si>
  <si>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</si>
  <si>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</si>
  <si>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</si>
  <si>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</si>
  <si>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</si>
  <si>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</si>
  <si>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</si>
  <si>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</si>
  <si>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</si>
  <si>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</si>
  <si>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</si>
  <si>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</si>
  <si>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</si>
  <si>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</si>
  <si>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</si>
  <si>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</si>
  <si>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</si>
  <si>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</si>
  <si>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</si>
  <si>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</si>
  <si>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</si>
  <si>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</si>
  <si>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</si>
  <si>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</si>
  <si>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</si>
  <si>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</si>
  <si>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</si>
  <si>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</si>
  <si>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</si>
  <si>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</si>
  <si>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</si>
  <si>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</si>
  <si>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</si>
  <si>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</si>
  <si>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</si>
  <si>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</si>
  <si>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</si>
  <si>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</si>
  <si>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</si>
  <si>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</si>
  <si>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</si>
  <si>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</si>
  <si>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</si>
  <si>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</si>
  <si>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</si>
  <si>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</si>
  <si>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</si>
  <si>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</si>
  <si>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</si>
  <si>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</si>
  <si>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</si>
  <si>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</si>
  <si>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</si>
  <si>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</si>
  <si>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</si>
  <si>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</si>
  <si>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</si>
  <si>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</si>
  <si>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</si>
  <si>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</si>
  <si>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</si>
  <si>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</si>
  <si>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</si>
  <si>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</si>
  <si>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</si>
  <si>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</si>
  <si>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</si>
  <si>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</si>
  <si>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</si>
  <si>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</si>
  <si>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</si>
  <si>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</si>
  <si>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</si>
  <si>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</si>
  <si>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</si>
  <si>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</si>
  <si>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</si>
  <si>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</si>
  <si>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</si>
  <si>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</si>
  <si>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</si>
  <si>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</si>
  <si>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</si>
  <si>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</si>
  <si>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</si>
  <si>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</si>
  <si>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</si>
  <si>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</si>
  <si>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</si>
  <si>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</si>
  <si>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</si>
  <si>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</si>
  <si>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</si>
  <si>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</si>
  <si>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</si>
  <si>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</si>
  <si>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</si>
  <si>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</si>
  <si>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</si>
  <si>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</si>
  <si>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</si>
  <si>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</si>
  <si>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</si>
  <si>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</si>
  <si>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</si>
  <si>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</si>
  <si>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</si>
  <si>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</si>
  <si>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</si>
  <si>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</si>
  <si>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</si>
  <si>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</si>
  <si>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</si>
  <si>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</si>
  <si>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</si>
  <si>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</si>
  <si>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</si>
  <si>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</si>
  <si>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</si>
  <si>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</si>
  <si>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</si>
  <si>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</si>
  <si>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</si>
  <si>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</si>
  <si>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</si>
  <si>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</si>
  <si>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</si>
  <si>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</si>
  <si>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</si>
  <si>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</si>
  <si>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</si>
  <si>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</si>
  <si>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</si>
  <si>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</si>
  <si>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</si>
  <si>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</si>
  <si>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</si>
  <si>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</si>
  <si>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</si>
  <si>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</si>
  <si>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</si>
  <si>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</si>
  <si>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</si>
  <si>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</si>
  <si>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</si>
  <si>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</si>
  <si>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</si>
  <si>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</si>
  <si>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</si>
  <si>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</si>
  <si>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</si>
  <si>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</si>
  <si>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</si>
  <si>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</si>
  <si>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</si>
  <si>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</si>
  <si>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</si>
  <si>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</si>
  <si>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</si>
  <si>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</si>
  <si>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</si>
  <si>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</si>
  <si>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</si>
  <si>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</si>
  <si>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</si>
  <si>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</si>
  <si>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</si>
  <si>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</si>
  <si>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</si>
  <si>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</si>
  <si>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</si>
  <si>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</si>
  <si>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</si>
  <si>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</si>
  <si>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</si>
  <si>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</si>
  <si>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</si>
  <si>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</si>
  <si>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</si>
  <si>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</si>
  <si>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</si>
  <si>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</si>
  <si>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</si>
  <si>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</si>
  <si>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</si>
  <si>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</si>
  <si>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</si>
  <si>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</si>
  <si>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</si>
  <si>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</si>
  <si>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</si>
  <si>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</si>
  <si>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</si>
  <si>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</si>
  <si>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</si>
  <si>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</si>
  <si>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</si>
  <si>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</si>
  <si>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</si>
  <si>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</si>
  <si>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</si>
  <si>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</si>
  <si>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</si>
  <si>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</si>
  <si>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</si>
  <si>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</si>
  <si>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</si>
  <si>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</si>
  <si>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</si>
  <si>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</si>
  <si>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</si>
  <si>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</si>
  <si>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</si>
  <si>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</si>
  <si>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</si>
  <si>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</si>
  <si>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</si>
  <si>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</si>
  <si>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</si>
  <si>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</si>
  <si>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</si>
  <si>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</si>
  <si>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</si>
  <si>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</si>
  <si>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</si>
  <si>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</si>
  <si>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</si>
  <si>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</si>
  <si>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</si>
  <si>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</si>
  <si>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</si>
  <si>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</si>
  <si>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</si>
  <si>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</si>
  <si>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</si>
  <si>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</si>
  <si>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</si>
  <si>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</si>
  <si>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</si>
  <si>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</si>
  <si>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</si>
  <si>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</si>
  <si>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</si>
  <si>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</si>
  <si>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</si>
  <si>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</si>
  <si>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</si>
  <si>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</si>
  <si>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</si>
  <si>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</si>
  <si>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</si>
  <si>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</si>
  <si>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</si>
  <si>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</si>
  <si>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</si>
  <si>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</si>
  <si>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</si>
  <si>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</si>
  <si>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</si>
  <si>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</si>
  <si>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</si>
  <si>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</si>
  <si>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</si>
  <si>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</si>
  <si>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</si>
  <si>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</si>
  <si>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</si>
  <si>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</si>
  <si>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</si>
  <si>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</si>
  <si>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</si>
  <si>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</si>
  <si>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</si>
  <si>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</si>
  <si>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</si>
  <si>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</si>
  <si>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</si>
  <si>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</si>
  <si>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</si>
  <si>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</si>
  <si>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</si>
  <si>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</si>
  <si>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</si>
  <si>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</si>
  <si>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</si>
  <si>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</si>
  <si>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</si>
  <si>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</si>
  <si>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</si>
  <si>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</si>
  <si>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</si>
  <si>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</si>
  <si>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</si>
  <si>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</si>
  <si>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</si>
  <si>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</si>
  <si>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</si>
  <si>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</si>
  <si>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</si>
  <si>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</si>
  <si>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</si>
  <si>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</si>
  <si>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</si>
  <si>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</si>
  <si>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</si>
  <si>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</si>
  <si>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</si>
  <si>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</si>
  <si>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</si>
  <si>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</si>
  <si>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</si>
  <si>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</si>
  <si>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</si>
  <si>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</si>
  <si>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</si>
  <si>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</si>
  <si>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</si>
  <si>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</si>
  <si>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</si>
  <si>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</si>
  <si>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</si>
  <si>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</si>
  <si>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</si>
  <si>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</si>
  <si>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</si>
  <si>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</si>
  <si>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</si>
  <si>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</si>
  <si>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</si>
  <si>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</si>
  <si>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</si>
  <si>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</si>
  <si>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</si>
  <si>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</si>
  <si>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</si>
  <si>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</si>
  <si>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</si>
  <si>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</si>
  <si>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</si>
  <si>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</si>
  <si>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</si>
  <si>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</si>
  <si>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</si>
  <si>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</si>
  <si>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</si>
  <si>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</si>
  <si>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</si>
  <si>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</si>
  <si>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</si>
  <si>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</si>
  <si>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</si>
  <si>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</si>
  <si>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</si>
  <si>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</si>
  <si>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</si>
  <si>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</si>
  <si>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</si>
  <si>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</si>
  <si>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</si>
  <si>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</si>
  <si>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</si>
  <si>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</si>
  <si>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</si>
  <si>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</si>
  <si>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</si>
  <si>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</si>
  <si>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</si>
  <si>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</si>
  <si>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</si>
  <si>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</si>
  <si>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</si>
  <si>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</si>
  <si>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</si>
  <si>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</si>
  <si>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</si>
  <si>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</si>
  <si>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</si>
  <si>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</si>
  <si>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</si>
  <si>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</si>
  <si>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</si>
  <si>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</si>
  <si>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</si>
  <si>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</si>
  <si>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</si>
  <si>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</si>
  <si>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</si>
  <si>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</si>
  <si>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</si>
  <si>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</si>
  <si>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</si>
  <si>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</si>
  <si>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</si>
  <si>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</si>
  <si>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</si>
  <si>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</si>
  <si>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</si>
  <si>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</si>
  <si>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</si>
  <si>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</si>
  <si>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</si>
  <si>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</si>
  <si>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</si>
  <si>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</si>
  <si>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</si>
  <si>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</si>
  <si>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</si>
  <si>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</si>
  <si>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</si>
  <si>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</si>
  <si>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</si>
  <si>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</si>
  <si>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</si>
  <si>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</si>
  <si>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</si>
  <si>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</si>
  <si>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</si>
  <si>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</si>
  <si>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</si>
  <si>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</si>
  <si>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</si>
  <si>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</si>
  <si>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</si>
  <si>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</si>
  <si>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</si>
  <si>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</si>
  <si>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</si>
  <si>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</si>
  <si>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</si>
  <si>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</si>
  <si>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</si>
  <si>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</si>
  <si>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</si>
  <si>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</si>
  <si>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</si>
  <si>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</si>
  <si>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</si>
  <si>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</si>
  <si>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</si>
  <si>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</si>
  <si>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</si>
  <si>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</si>
  <si>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</si>
  <si>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</si>
  <si>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</si>
  <si>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</si>
  <si>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</si>
  <si>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</si>
  <si>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</si>
  <si>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</si>
  <si>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</si>
  <si>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</si>
  <si>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</si>
  <si>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</si>
  <si>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</si>
  <si>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</si>
  <si>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</si>
  <si>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</si>
  <si>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</si>
  <si>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</si>
  <si>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</si>
  <si>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</si>
  <si>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</si>
  <si>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</si>
  <si>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</si>
  <si>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</si>
  <si>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</si>
  <si>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</si>
  <si>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</si>
  <si>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</si>
  <si>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</si>
  <si>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</si>
  <si>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</si>
  <si>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</si>
  <si>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</si>
  <si>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</si>
  <si>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</si>
  <si>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</si>
  <si>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</si>
  <si>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</si>
  <si>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</si>
  <si>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</si>
  <si>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</si>
  <si>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</si>
  <si>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</si>
  <si>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</si>
  <si>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</si>
  <si>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</si>
  <si>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</si>
  <si>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</si>
  <si>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</si>
  <si>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</si>
  <si>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</si>
  <si>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</si>
  <si>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</si>
  <si>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</si>
  <si>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</si>
  <si>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</si>
  <si>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</si>
  <si>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</si>
  <si>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</si>
  <si>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</si>
  <si>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</si>
  <si>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</si>
  <si>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</si>
  <si>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</si>
  <si>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</si>
  <si>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</si>
  <si>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</si>
  <si>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</si>
  <si>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</si>
  <si>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</si>
  <si>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</si>
  <si>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</si>
  <si>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</si>
  <si>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</si>
  <si>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</si>
  <si>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</si>
  <si>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</si>
  <si>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</si>
  <si>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</si>
  <si>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</si>
  <si>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</si>
  <si>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</si>
  <si>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</si>
  <si>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</si>
  <si>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</si>
  <si>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</si>
  <si>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</si>
  <si>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</si>
  <si>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</si>
  <si>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</si>
  <si>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</si>
  <si>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</si>
  <si>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</si>
  <si>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</si>
  <si>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</si>
  <si>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</si>
  <si>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</si>
  <si>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</si>
  <si>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</si>
  <si>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</si>
  <si>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</si>
  <si>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</si>
  <si>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</si>
  <si>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</si>
  <si>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</si>
  <si>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</si>
  <si>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</si>
  <si>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</si>
  <si>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</si>
  <si>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</si>
  <si>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</si>
  <si>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</si>
  <si>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</si>
  <si>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</si>
  <si>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</si>
  <si>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</si>
  <si>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</si>
  <si>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</si>
  <si>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</si>
  <si>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</si>
  <si>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</si>
  <si>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</si>
  <si>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</si>
  <si>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</si>
  <si>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</si>
  <si>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</si>
  <si>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</si>
  <si>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</si>
  <si>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</si>
  <si>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</si>
  <si>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</si>
  <si>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</si>
  <si>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</si>
  <si>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</si>
  <si>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</si>
  <si>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</si>
  <si>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</si>
  <si>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</si>
  <si>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</si>
  <si>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</si>
  <si>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</si>
  <si>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</si>
  <si>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</si>
  <si>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</si>
  <si>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</si>
  <si>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</si>
  <si>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</si>
  <si>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</si>
  <si>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</si>
  <si>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</si>
  <si>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</si>
  <si>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</si>
  <si>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</si>
  <si>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</si>
  <si>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</si>
  <si>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</si>
  <si>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</si>
  <si>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</si>
  <si>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</si>
  <si>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</si>
  <si>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</si>
  <si>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</si>
  <si>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</si>
  <si>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</si>
  <si>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</si>
  <si>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</si>
  <si>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</si>
  <si>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</si>
  <si>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</si>
  <si>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</si>
  <si>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</si>
  <si>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</si>
  <si>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</si>
  <si>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</si>
  <si>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</si>
  <si>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</si>
  <si>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</si>
  <si>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</si>
  <si>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</si>
  <si>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</si>
  <si>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</si>
  <si>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</si>
  <si>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</si>
  <si>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</si>
  <si>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</si>
  <si>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</si>
  <si>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</si>
  <si>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</si>
  <si>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</si>
  <si>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</si>
  <si>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</si>
  <si>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</si>
  <si>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</si>
  <si>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</si>
  <si>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</si>
  <si>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</si>
  <si>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</si>
  <si>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</si>
  <si>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</si>
  <si>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</si>
  <si>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</si>
  <si>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</si>
  <si>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</si>
  <si>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</si>
  <si>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</si>
  <si>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</si>
  <si>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</si>
  <si>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</si>
  <si>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</si>
  <si>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</si>
  <si>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</si>
  <si>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</si>
  <si>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</si>
  <si>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</si>
  <si>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</si>
  <si>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</si>
  <si>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</si>
  <si>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</si>
  <si>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</si>
  <si>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</si>
  <si>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</si>
  <si>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</si>
  <si>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</si>
  <si>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</si>
  <si>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</si>
  <si>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</si>
  <si>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</si>
  <si>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</si>
  <si>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</si>
  <si>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</si>
  <si>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</si>
  <si>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</si>
  <si>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</si>
  <si>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</si>
  <si>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</si>
  <si>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</si>
  <si>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</si>
  <si>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</si>
  <si>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</si>
  <si>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</si>
  <si>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</si>
  <si>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</si>
  <si>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</si>
  <si>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</si>
  <si>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</si>
  <si>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</si>
  <si>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</si>
  <si>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</si>
  <si>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</si>
  <si>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</si>
  <si>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</si>
  <si>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</si>
  <si>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</si>
  <si>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</si>
  <si>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</si>
  <si>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</si>
  <si>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</si>
  <si>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</si>
  <si>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</si>
  <si>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</si>
  <si>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</si>
  <si>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</si>
  <si>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</si>
  <si>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</si>
  <si>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</si>
  <si>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</si>
  <si>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</si>
  <si>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</si>
  <si>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</si>
  <si>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</si>
  <si>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</si>
  <si>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</si>
  <si>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</si>
  <si>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</si>
  <si>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</si>
  <si>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</si>
  <si>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</si>
  <si>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</si>
  <si>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</si>
  <si>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</si>
  <si>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</si>
  <si>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</si>
  <si>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</si>
  <si>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</si>
  <si>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</si>
  <si>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</si>
  <si>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</si>
  <si>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</si>
  <si>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</si>
  <si>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</si>
  <si>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</si>
  <si>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</si>
  <si>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</si>
  <si>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</si>
  <si>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</si>
  <si>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</si>
  <si>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</si>
  <si>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</si>
  <si>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</si>
  <si>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</si>
  <si>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</si>
  <si>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</si>
  <si>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</si>
  <si>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</si>
  <si>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</si>
  <si>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</si>
  <si>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</si>
  <si>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</si>
  <si>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</si>
  <si>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</si>
  <si>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</si>
  <si>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</si>
  <si>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</si>
  <si>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</si>
  <si>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</si>
  <si>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</si>
  <si>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</si>
  <si>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</si>
  <si>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</si>
  <si>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</si>
  <si>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</si>
  <si>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</si>
  <si>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</si>
  <si>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</si>
  <si>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</si>
  <si>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</si>
  <si>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</si>
  <si>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</si>
  <si>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</si>
  <si>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</si>
  <si>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</si>
  <si>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</si>
  <si>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</si>
  <si>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</si>
  <si>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</si>
  <si>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</si>
  <si>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</si>
  <si>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</si>
  <si>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</si>
  <si>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</si>
  <si>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</si>
  <si>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</si>
  <si>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</si>
  <si>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</si>
  <si>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</si>
  <si>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</si>
  <si>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</si>
  <si>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</si>
  <si>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</si>
  <si>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</si>
  <si>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</si>
  <si>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</si>
  <si>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</si>
  <si>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</si>
  <si>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</si>
  <si>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</si>
  <si>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</si>
  <si>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</si>
  <si>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</si>
  <si>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</si>
  <si>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</si>
  <si>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</si>
  <si>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</si>
  <si>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</si>
  <si>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</si>
  <si>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</si>
  <si>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</si>
  <si>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</si>
  <si>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</si>
  <si>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</si>
  <si>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</si>
  <si>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</si>
  <si>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</si>
  <si>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</si>
  <si>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</si>
  <si>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</si>
  <si>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</si>
  <si>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</si>
  <si>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</si>
  <si>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</si>
  <si>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</si>
  <si>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</si>
  <si>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</si>
  <si>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</si>
  <si>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</si>
  <si>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</si>
  <si>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</si>
  <si>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</si>
  <si>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</si>
  <si>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</si>
  <si>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</si>
  <si>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</si>
  <si>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</si>
  <si>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</si>
  <si>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</si>
  <si>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</si>
  <si>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</si>
  <si>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</si>
  <si>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</si>
  <si>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</si>
  <si>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</si>
  <si>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</si>
  <si>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</si>
  <si>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</si>
  <si>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</si>
  <si>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</si>
  <si>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</si>
  <si>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</si>
  <si>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</si>
  <si>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</si>
  <si>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</si>
  <si>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</si>
  <si>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</si>
  <si>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</si>
  <si>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</si>
  <si>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</si>
  <si>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</si>
  <si>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</si>
  <si>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</si>
  <si>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</si>
  <si>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</si>
  <si>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</si>
  <si>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</si>
  <si>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</si>
  <si>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</si>
  <si>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</si>
  <si>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</si>
  <si>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</si>
  <si>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</si>
  <si>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</si>
  <si>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</si>
  <si>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</si>
  <si>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</si>
  <si>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</si>
  <si>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</si>
  <si>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</si>
  <si>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</si>
  <si>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</si>
  <si>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</si>
  <si>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</si>
  <si>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</si>
  <si>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</si>
  <si>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</si>
  <si>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</si>
  <si>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</si>
  <si>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</si>
  <si>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</si>
  <si>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</si>
  <si>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</si>
  <si>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</si>
  <si>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</si>
  <si>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</si>
  <si>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</si>
  <si>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</si>
  <si>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</si>
  <si>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</si>
  <si>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</si>
  <si>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</si>
  <si>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</si>
  <si>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</si>
  <si>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</si>
  <si>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</si>
  <si>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</si>
  <si>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</si>
  <si>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</si>
  <si>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</si>
  <si>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</si>
  <si>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</si>
  <si>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</si>
  <si>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</si>
  <si>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</si>
  <si>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</si>
  <si>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</si>
  <si>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</si>
  <si>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</si>
  <si>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</si>
  <si>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</si>
  <si>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</si>
  <si>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</si>
  <si>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</si>
  <si>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</si>
  <si>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</si>
  <si>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</si>
  <si>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</si>
  <si>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</si>
  <si>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</si>
  <si>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</si>
  <si>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</si>
  <si>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</si>
  <si>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</si>
  <si>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</si>
  <si>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</si>
  <si>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</si>
  <si>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</si>
  <si>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</si>
  <si>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</si>
  <si>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</si>
  <si>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</si>
  <si>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</si>
  <si>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</si>
  <si>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</si>
  <si>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</si>
  <si>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</si>
  <si>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</si>
  <si>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</si>
  <si>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</si>
  <si>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</si>
  <si>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</si>
  <si>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</si>
  <si>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</si>
  <si>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</si>
  <si>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</si>
  <si>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</si>
  <si>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</si>
  <si>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</si>
  <si>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</si>
  <si>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</si>
  <si>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</si>
  <si>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</si>
  <si>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</si>
  <si>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</si>
  <si>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</si>
  <si>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</si>
  <si>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</si>
  <si>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</si>
  <si>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</si>
  <si>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</si>
  <si>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</si>
  <si>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</si>
  <si>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</si>
  <si>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</si>
  <si>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</si>
  <si>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</si>
  <si>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</si>
  <si>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</si>
  <si>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</si>
  <si>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</si>
  <si>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</si>
  <si>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</si>
  <si>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</si>
  <si>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</si>
  <si>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</si>
  <si>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</si>
  <si>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</si>
  <si>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</si>
  <si>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</si>
  <si>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</si>
  <si>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</si>
  <si>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</si>
  <si>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</si>
  <si>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</si>
  <si>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</si>
  <si>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</si>
  <si>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</si>
  <si>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</si>
  <si>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</si>
  <si>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</si>
  <si>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</si>
  <si>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</si>
  <si>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</si>
  <si>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</si>
  <si>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</si>
  <si>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</si>
  <si>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</si>
  <si>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</si>
  <si>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</si>
  <si>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</si>
  <si>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</si>
  <si>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</si>
  <si>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</si>
  <si>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</si>
  <si>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</si>
  <si>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</si>
  <si>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</si>
  <si>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</si>
  <si>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</si>
  <si>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</si>
  <si>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</si>
  <si>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</si>
  <si>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</si>
  <si>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</si>
  <si>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</si>
  <si>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</si>
  <si>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</si>
  <si>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</si>
  <si>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</si>
  <si>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</si>
  <si>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</si>
  <si>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</si>
  <si>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</si>
  <si>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</si>
  <si>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</si>
  <si>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</si>
  <si>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</si>
  <si>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</si>
  <si>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</si>
  <si>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</si>
  <si>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</si>
  <si>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</si>
  <si>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</si>
  <si>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</si>
  <si>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</si>
  <si>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</si>
  <si>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</si>
  <si>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</si>
  <si>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</si>
  <si>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</si>
  <si>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</si>
  <si>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</si>
  <si>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</si>
  <si>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</si>
  <si>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</si>
  <si>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</si>
  <si>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</si>
  <si>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</si>
  <si>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</si>
  <si>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</si>
  <si>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</si>
  <si>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</si>
  <si>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</si>
  <si>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</si>
  <si>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</si>
  <si>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</si>
  <si>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</si>
  <si>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</si>
  <si>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</si>
  <si>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</si>
  <si>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</si>
  <si>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</si>
  <si>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</si>
  <si>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</si>
  <si>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</si>
  <si>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</si>
  <si>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</si>
  <si>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</si>
  <si>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</si>
  <si>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</si>
  <si>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</si>
  <si>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</si>
  <si>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</si>
  <si>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</si>
  <si>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</si>
  <si>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</si>
  <si>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</si>
  <si>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</si>
  <si>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</si>
  <si>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</si>
  <si>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</si>
  <si>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</si>
  <si>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</si>
  <si>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</si>
  <si>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</si>
  <si>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</si>
  <si>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</si>
  <si>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</si>
  <si>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</si>
  <si>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</si>
  <si>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</si>
  <si>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</si>
  <si>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</si>
  <si>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</si>
  <si>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</si>
  <si>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</si>
  <si>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</si>
  <si>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</si>
  <si>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</si>
  <si>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</si>
  <si>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</si>
  <si>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</si>
  <si>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</si>
  <si>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</si>
  <si>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</si>
  <si>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</si>
  <si>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</si>
  <si>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</si>
  <si>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</si>
  <si>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</si>
  <si>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</si>
  <si>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</si>
  <si>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</si>
  <si>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</si>
  <si>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</si>
  <si>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</si>
  <si>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</si>
  <si>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</si>
  <si>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</si>
  <si>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</si>
  <si>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</si>
  <si>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</si>
  <si>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</si>
  <si>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</si>
  <si>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</si>
  <si>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</si>
  <si>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</si>
  <si>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</si>
  <si>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</si>
  <si>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</si>
  <si>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</si>
  <si>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</si>
  <si>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</si>
  <si>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</si>
  <si>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</si>
  <si>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</si>
  <si>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</si>
  <si>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</si>
  <si>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</si>
  <si>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</si>
  <si>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</si>
  <si>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</si>
  <si>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</si>
  <si>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</si>
  <si>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</si>
  <si>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</si>
  <si>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</si>
  <si>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</si>
  <si>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</si>
  <si>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</si>
  <si>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</si>
  <si>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</si>
  <si>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</si>
  <si>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</si>
  <si>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</si>
  <si>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</si>
  <si>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</si>
  <si>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</si>
  <si>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</si>
  <si>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</si>
  <si>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</si>
  <si>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</si>
  <si>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</si>
  <si>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</si>
  <si>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</si>
  <si>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</si>
  <si>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</si>
  <si>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</si>
  <si>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</si>
  <si>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</si>
  <si>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</si>
  <si>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</si>
  <si>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</si>
  <si>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</si>
  <si>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</si>
  <si>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</si>
  <si>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</si>
  <si>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</si>
  <si>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</si>
  <si>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</si>
  <si>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</si>
  <si>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</si>
  <si>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</si>
  <si>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</si>
  <si>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</si>
  <si>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</si>
  <si>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</si>
  <si>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</si>
  <si>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</si>
  <si>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</si>
  <si>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</si>
  <si>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</si>
  <si>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</si>
  <si>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</si>
  <si>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</si>
  <si>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</si>
  <si>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</si>
  <si>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</si>
  <si>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</si>
  <si>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</si>
  <si>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</si>
  <si>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</si>
  <si>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</si>
  <si>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</si>
  <si>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</si>
  <si>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</si>
  <si>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</si>
  <si>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</si>
  <si>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</si>
  <si>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</si>
  <si>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</si>
  <si>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</si>
  <si>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</si>
  <si>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</si>
  <si>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</si>
  <si>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</si>
  <si>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</si>
  <si>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</si>
  <si>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</si>
  <si>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</si>
  <si>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</si>
  <si>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</si>
  <si>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</si>
  <si>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</si>
  <si>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</si>
  <si>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</si>
  <si>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</si>
  <si>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</si>
  <si>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</si>
  <si>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</si>
  <si>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</si>
  <si>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</si>
  <si>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</si>
  <si>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</si>
  <si>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</si>
  <si>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</si>
  <si>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</si>
  <si>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</si>
  <si>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</si>
  <si>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</si>
  <si>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</si>
  <si>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</si>
  <si>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</si>
  <si>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</si>
  <si>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</si>
  <si>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</si>
  <si>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</si>
  <si>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</si>
  <si>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</si>
  <si>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</si>
  <si>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</si>
  <si>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</si>
  <si>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</si>
  <si>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</si>
  <si>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</si>
  <si>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</si>
  <si>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</si>
  <si>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</si>
  <si>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</si>
  <si>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</si>
  <si>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</si>
  <si>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</si>
  <si>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</si>
  <si>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</si>
  <si>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</si>
  <si>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</si>
  <si>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</si>
  <si>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</si>
  <si>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</si>
  <si>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</si>
  <si>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</si>
  <si>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</si>
  <si>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</si>
  <si>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</si>
  <si>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</si>
  <si>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</si>
  <si>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</si>
  <si>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</si>
  <si>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</si>
  <si>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</si>
  <si>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</si>
  <si>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</si>
  <si>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</si>
  <si>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</si>
  <si>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</si>
  <si>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</si>
  <si>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</si>
  <si>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</si>
  <si>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</si>
  <si>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</si>
  <si>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</si>
  <si>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</si>
  <si>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</si>
  <si>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</si>
  <si>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</si>
  <si>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</si>
  <si>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</si>
  <si>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</si>
  <si>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</si>
  <si>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</si>
  <si>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</si>
  <si>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</si>
  <si>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</si>
  <si>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</si>
  <si>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</si>
  <si>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</si>
  <si>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</si>
  <si>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</si>
  <si>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</si>
  <si>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</si>
  <si>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</si>
  <si>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</si>
  <si>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</si>
  <si>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</si>
  <si>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</si>
  <si>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</si>
  <si>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</si>
  <si>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</si>
  <si>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</si>
  <si>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</si>
  <si>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</si>
  <si>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</si>
  <si>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</si>
  <si>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</si>
  <si>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</si>
  <si>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</si>
  <si>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</si>
  <si>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</si>
  <si>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</si>
  <si>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</si>
  <si>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</si>
  <si>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</si>
  <si>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</si>
  <si>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</si>
  <si>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</si>
  <si>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</si>
  <si>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</si>
  <si>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</si>
  <si>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main_image</t>
  </si>
  <si>
    <t>代表画像ファイル名</t>
  </si>
  <si>
    <t>main_image_filename</t>
  </si>
  <si>
    <t>key1</t>
  </si>
  <si>
    <t>キー1</t>
  </si>
  <si>
    <t>key2</t>
  </si>
  <si>
    <t>キー2</t>
  </si>
  <si>
    <t>key3</t>
  </si>
  <si>
    <t>キー3</t>
  </si>
  <si>
    <t>key4</t>
  </si>
  <si>
    <t>キー4</t>
  </si>
  <si>
    <t>key5</t>
  </si>
  <si>
    <t>キー5</t>
  </si>
  <si>
    <t>key6</t>
  </si>
  <si>
    <t>キー6</t>
  </si>
  <si>
    <t>key7</t>
  </si>
  <si>
    <t>キー7</t>
  </si>
  <si>
    <t>key8</t>
  </si>
  <si>
    <t>キー8</t>
  </si>
  <si>
    <t>key9</t>
  </si>
  <si>
    <t>キー9</t>
  </si>
  <si>
    <t>key10</t>
  </si>
  <si>
    <t>キー10</t>
  </si>
  <si>
    <t>RDEDatasetTemplateSheet_RDE_SIMPLE_REGISTRATION_dt0004</t>
  </si>
  <si>
    <t>RDEDatasetTemplateSheet_RDE_SIMPLE_REGISTRATION_dt0004</t>
    <phoneticPr fontId="2"/>
  </si>
  <si>
    <t>標準データセットテンプレートRDE_SIMPLE_REGISTRATIONのdt0004用RDEデータセットテンプレート</t>
    <rPh sb="0" eb="2">
      <t xml:space="preserve">ヒョウジュン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</si>
</sst>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B5" sqref="B5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1494</v>
      </c>
      <c r="C1" s="22" t="s">
        <v>1384</v>
      </c>
    </row>
    <row r="2" spans="1:3" ht="18">
      <c r="A2" s="1" t="s">
        <v>1385</v>
      </c>
      <c r="B2" s="9" t="s">
        <v>1494</v>
      </c>
      <c r="C2" s="22" t="s">
        <v>1384</v>
      </c>
    </row>
    <row r="3" spans="1:3" ht="18">
      <c r="A3" s="1" t="s">
        <v>1386</v>
      </c>
      <c r="B3" s="9" t="s">
        <v>1493</v>
      </c>
      <c r="C3" s="22" t="s">
        <v>1387</v>
      </c>
    </row>
    <row r="4" spans="1:3">
      <c r="A4" s="1" t="s">
        <v>1388</v>
      </c>
      <c r="B4" s="22" t="s">
        <v>1495</v>
      </c>
      <c r="C4" s="22"/>
    </row>
    <row r="5" spans="1:3" ht="18">
      <c r="A5" s="21"/>
    </row>
    <row r="6" spans="1:3">
      <c r="A6" s="1" t="s">
        <v>1389</v>
      </c>
      <c r="B6" s="30">
        <v>46016</v>
      </c>
      <c r="C6" s="22"/>
    </row>
    <row r="7" spans="1:3">
      <c r="A7" s="1" t="s">
        <v>1390</v>
      </c>
      <c r="B7" s="22" t="s">
        <v>1469</v>
      </c>
      <c r="C7" s="22"/>
    </row>
    <row r="8" spans="1:3">
      <c r="A8" s="1" t="s">
        <v>1391</v>
      </c>
      <c r="B8" s="30">
        <v>46016</v>
      </c>
      <c r="C8" s="22"/>
    </row>
    <row r="9" spans="1:3">
      <c r="A9" s="1" t="s">
        <v>1392</v>
      </c>
      <c r="B9" s="22" t="s">
        <v>1469</v>
      </c>
      <c r="C9" s="22"/>
    </row>
    <row r="11" spans="1:3">
      <c r="A11" s="1" t="s">
        <v>1393</v>
      </c>
      <c r="B11" s="22"/>
      <c r="C11" s="22"/>
    </row>
    <row r="12" spans="1:3">
      <c r="A12" s="1" t="s">
        <v>1394</v>
      </c>
      <c r="B12" s="22"/>
      <c r="C12" s="22"/>
    </row>
    <row r="15" spans="1:3">
      <c r="A15" t="s">
        <v>1468</v>
      </c>
    </row>
    <row r="17" spans="1:2" ht="18" thickBot="1"/>
    <row r="18" spans="1:2" ht="18" thickTop="1">
      <c r="A18" s="31" t="s">
        <v>1454</v>
      </c>
      <c r="B18" s="32"/>
    </row>
    <row r="19" spans="1:2">
      <c r="A19" s="33"/>
      <c r="B19" s="34"/>
    </row>
    <row r="20" spans="1:2">
      <c r="A20" s="33" t="s">
        <v>1455</v>
      </c>
      <c r="B20" s="34"/>
    </row>
    <row r="21" spans="1:2">
      <c r="A21" s="33" t="s">
        <v>1456</v>
      </c>
      <c r="B21" s="34"/>
    </row>
    <row r="22" spans="1:2">
      <c r="A22" s="33"/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 t="s">
        <v>1459</v>
      </c>
      <c r="B25" s="34"/>
    </row>
    <row r="26" spans="1:2">
      <c r="A26" s="33" t="s">
        <v>1460</v>
      </c>
      <c r="B26" s="34"/>
    </row>
    <row r="27" spans="1:2">
      <c r="A27" s="33"/>
      <c r="B27" s="34"/>
    </row>
    <row r="28" spans="1:2">
      <c r="A28" s="33" t="s">
        <v>1461</v>
      </c>
      <c r="B28" s="34"/>
    </row>
    <row r="29" spans="1:2">
      <c r="A29" s="33"/>
      <c r="B29" s="34"/>
    </row>
    <row r="30" spans="1:2">
      <c r="A30" s="35"/>
      <c r="B30" s="34" t="s">
        <v>1462</v>
      </c>
    </row>
    <row r="31" spans="1:2">
      <c r="A31" s="33"/>
      <c r="B31" s="34" t="s">
        <v>1463</v>
      </c>
    </row>
    <row r="32" spans="1:2">
      <c r="A32" s="36"/>
      <c r="B32" s="34" t="s">
        <v>1464</v>
      </c>
    </row>
    <row r="33" spans="1:2">
      <c r="A33" s="37"/>
      <c r="B33" s="34" t="s">
        <v>1465</v>
      </c>
    </row>
    <row r="34" spans="1:2">
      <c r="A34" s="33"/>
      <c r="B34" s="34"/>
    </row>
    <row r="35" spans="1:2">
      <c r="A35" s="33"/>
      <c r="B35" s="34"/>
    </row>
    <row r="36" spans="1:2">
      <c r="A36" s="33" t="s">
        <v>1466</v>
      </c>
      <c r="B36" s="34"/>
    </row>
    <row r="37" spans="1:2" ht="18" thickBot="1">
      <c r="A37" s="38" t="s">
        <v>1467</v>
      </c>
      <c r="B37" s="39"/>
    </row>
    <row r="38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12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4" sqref="Q4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1431</v>
      </c>
      <c r="E1" s="1" t="s">
        <v>1446</v>
      </c>
      <c r="F1" s="1" t="s">
        <v>1447</v>
      </c>
      <c r="G1" s="1" t="s">
        <v>23</v>
      </c>
      <c r="H1" s="1" t="s">
        <v>24</v>
      </c>
      <c r="I1" s="1" t="s">
        <v>26</v>
      </c>
      <c r="J1" s="1" t="s">
        <v>1395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1399</v>
      </c>
      <c r="C2" s="2" t="s">
        <v>47</v>
      </c>
      <c r="D2" s="2" t="s">
        <v>1451</v>
      </c>
      <c r="E2" s="2" t="s">
        <v>1452</v>
      </c>
      <c r="F2" s="2" t="s">
        <v>1453</v>
      </c>
      <c r="G2" s="2" t="s">
        <v>48</v>
      </c>
      <c r="H2" s="2" t="s">
        <v>49</v>
      </c>
      <c r="I2" s="2" t="s">
        <v>46</v>
      </c>
      <c r="J2" s="2" t="s">
        <v>1398</v>
      </c>
      <c r="K2" s="2" t="s">
        <v>1396</v>
      </c>
      <c r="L2" s="2" t="s">
        <v>1397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>
      <c r="A3" s="41" t="s">
        <v>1429</v>
      </c>
      <c r="B3" s="3" t="s">
        <v>44</v>
      </c>
      <c r="C3" s="9"/>
      <c r="D3" s="5"/>
      <c r="E3" s="5"/>
      <c r="F3" s="5"/>
      <c r="G3" s="4"/>
      <c r="H3" s="4"/>
      <c r="I3" s="5"/>
      <c r="J3" s="6" t="s">
        <v>4</v>
      </c>
      <c r="K3" s="23" t="str">
        <f>_xlfn.IFS(J3="integer","integer",J3="number","number",J3="array","array",J3="boolean","boolean",TRUE,"string")</f>
        <v>string</v>
      </c>
      <c r="L3" s="23" t="str">
        <f>_xlfn.IFS(J3="datetime","date-time",J3="duration","duration",TRUE,"")</f>
        <v/>
      </c>
      <c r="M3" s="20"/>
      <c r="N3" s="20"/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44</v>
      </c>
      <c r="C4" s="9"/>
      <c r="D4" s="5"/>
      <c r="E4" s="5"/>
      <c r="F4" s="5"/>
      <c r="G4" s="4"/>
      <c r="H4" s="4"/>
      <c r="I4" s="5"/>
      <c r="J4" s="6" t="s">
        <v>4</v>
      </c>
      <c r="K4" s="23" t="str">
        <f t="shared" ref="K4:K11" si="0">_xlfn.IFS(J4="integer","integer",J4="number","number",J4="array","array",J4="boolean","boolean",TRUE,"string")</f>
        <v>string</v>
      </c>
      <c r="L4" s="23" t="str">
        <f t="shared" ref="L4:L11" si="1">_xlfn.IFS(J4="datetime","date-time",J4="duration","duration",TRUE,"")</f>
        <v/>
      </c>
      <c r="M4" s="20"/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44</v>
      </c>
      <c r="C5" s="9"/>
      <c r="D5" s="5"/>
      <c r="E5" s="5"/>
      <c r="F5" s="5"/>
      <c r="G5" s="4"/>
      <c r="H5" s="4"/>
      <c r="I5" s="5"/>
      <c r="J5" s="6" t="s">
        <v>4</v>
      </c>
      <c r="K5" s="23" t="str">
        <f t="shared" ref="K5:K10" si="2">_xlfn.IFS(J5="integer","integer",J5="number","number",J5="array","array",J5="boolean","boolean",TRUE,"string")</f>
        <v>string</v>
      </c>
      <c r="L5" s="23" t="str">
        <f t="shared" ref="L5:L10" si="3">_xlfn.IFS(J5="datetime","date-time",J5="duration","duration",TRUE,"")</f>
        <v/>
      </c>
      <c r="M5" s="20"/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44</v>
      </c>
      <c r="C6" s="9"/>
      <c r="D6" s="5"/>
      <c r="E6" s="5"/>
      <c r="F6" s="5"/>
      <c r="G6" s="4"/>
      <c r="H6" s="4"/>
      <c r="I6" s="5"/>
      <c r="J6" s="6" t="s">
        <v>4</v>
      </c>
      <c r="K6" s="23" t="str">
        <f t="shared" si="2"/>
        <v>string</v>
      </c>
      <c r="L6" s="23" t="str">
        <f t="shared" si="3"/>
        <v/>
      </c>
      <c r="M6" s="20"/>
      <c r="N6" s="20"/>
      <c r="O6" s="20"/>
      <c r="P6" s="20"/>
      <c r="Q6" s="20"/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44</v>
      </c>
      <c r="C7" s="9"/>
      <c r="D7" s="5"/>
      <c r="E7" s="5"/>
      <c r="F7" s="5"/>
      <c r="G7" s="4"/>
      <c r="H7" s="4"/>
      <c r="I7" s="5"/>
      <c r="J7" s="6" t="s">
        <v>4</v>
      </c>
      <c r="K7" s="23" t="str">
        <f t="shared" si="2"/>
        <v>string</v>
      </c>
      <c r="L7" s="23" t="str">
        <f t="shared" si="3"/>
        <v/>
      </c>
      <c r="M7" s="20"/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44</v>
      </c>
      <c r="C8" s="9"/>
      <c r="D8" s="5"/>
      <c r="E8" s="5"/>
      <c r="F8" s="5"/>
      <c r="G8" s="4"/>
      <c r="H8" s="4"/>
      <c r="I8" s="5"/>
      <c r="J8" s="6" t="s">
        <v>4</v>
      </c>
      <c r="K8" s="23" t="str">
        <f t="shared" si="2"/>
        <v>string</v>
      </c>
      <c r="L8" s="23" t="str">
        <f t="shared" si="3"/>
        <v/>
      </c>
      <c r="M8" s="20"/>
      <c r="N8" s="20"/>
      <c r="O8" s="20"/>
      <c r="P8" s="20"/>
      <c r="Q8" s="20"/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44</v>
      </c>
      <c r="C9" s="9"/>
      <c r="D9" s="5"/>
      <c r="E9" s="5"/>
      <c r="F9" s="5"/>
      <c r="G9" s="4"/>
      <c r="H9" s="4"/>
      <c r="I9" s="5"/>
      <c r="J9" s="6" t="s">
        <v>4</v>
      </c>
      <c r="K9" s="23" t="str">
        <f t="shared" si="2"/>
        <v>string</v>
      </c>
      <c r="L9" s="23" t="str">
        <f t="shared" si="3"/>
        <v/>
      </c>
      <c r="M9" s="20"/>
      <c r="N9" s="20"/>
      <c r="O9" s="20"/>
      <c r="P9" s="20"/>
      <c r="Q9" s="20"/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44</v>
      </c>
      <c r="C10" s="9"/>
      <c r="D10" s="5"/>
      <c r="E10" s="5"/>
      <c r="F10" s="5"/>
      <c r="G10" s="4"/>
      <c r="H10" s="4"/>
      <c r="I10" s="5"/>
      <c r="J10" s="6" t="s">
        <v>4</v>
      </c>
      <c r="K10" s="23" t="str">
        <f t="shared" si="2"/>
        <v>string</v>
      </c>
      <c r="L10" s="23" t="str">
        <f t="shared" si="3"/>
        <v/>
      </c>
      <c r="M10" s="20"/>
      <c r="N10" s="20"/>
      <c r="O10" s="20"/>
      <c r="P10" s="20"/>
      <c r="Q10" s="20"/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44</v>
      </c>
      <c r="C11" s="9"/>
      <c r="D11" s="7"/>
      <c r="E11" s="7"/>
      <c r="F11" s="7"/>
      <c r="G11" s="6"/>
      <c r="H11" s="6"/>
      <c r="I11" s="7"/>
      <c r="J11" s="6" t="s">
        <v>4</v>
      </c>
      <c r="K11" s="23" t="str">
        <f t="shared" si="0"/>
        <v>string</v>
      </c>
      <c r="L11" s="23" t="str">
        <f t="shared" si="1"/>
        <v/>
      </c>
      <c r="M11" s="7"/>
      <c r="N11" s="7"/>
      <c r="O11" s="7"/>
      <c r="P11" s="7"/>
      <c r="Q11" s="7"/>
      <c r="R11" s="7"/>
      <c r="S11" s="8"/>
    </row>
    <row r="12" spans="1:30">
      <c r="B12" s="27"/>
    </row>
  </sheetData>
  <mergeCells count="1">
    <mergeCell ref="A3:A11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11" xr:uid="{C77DE921-00C9-402E-B063-7FE813E1C579}">
      <formula1>"ON,OFF"</formula1>
    </dataValidation>
    <dataValidation type="list" allowBlank="1" showInputMessage="1" showErrorMessage="1" sqref="Q4:Q11" xr:uid="{973D0976-273D-4B1E-AD82-53B3E7F58099}">
      <formula1>"　,TRUE"</formula1>
    </dataValidation>
    <dataValidation type="list" allowBlank="1" showInputMessage="1" showErrorMessage="1" sqref="J3:J11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3"/>
  <sheetViews>
    <sheetView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C8" sqref="C8:C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6" t="s">
        <v>9</v>
      </c>
      <c r="C1" s="47"/>
      <c r="D1" s="47"/>
      <c r="E1" s="4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52" t="str">
        <f>"https://rde.nims.go.jp/rde/dataset-templates/"&amp;説明!B3&amp;"/invoice.schema.json"</f>
        <v>https://rde.nims.go.jp/rde/dataset-templates/RDEDatasetTemplateSheet_RDE_SIMPLE_REGISTRATION_dt0004/invoice.schema.json</v>
      </c>
      <c r="C2" s="53"/>
      <c r="D2" s="53"/>
      <c r="E2" s="5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9" t="str">
        <f>説明!B4&amp;": 送状定義"</f>
        <v>標準データセットテンプレートRDE_SIMPLE_REGISTRATIONのdt0004用RDEデータセットテンプレート: 送状定義</v>
      </c>
      <c r="C3" s="50"/>
      <c r="D3" s="50"/>
      <c r="E3" s="5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1395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1399</v>
      </c>
      <c r="D6" s="2" t="s">
        <v>1403</v>
      </c>
      <c r="E6" s="2" t="s">
        <v>1402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1398</v>
      </c>
      <c r="N6" s="2" t="s">
        <v>1400</v>
      </c>
      <c r="O6" s="2" t="s">
        <v>1397</v>
      </c>
      <c r="P6" s="2" t="s">
        <v>1401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2" t="s">
        <v>5</v>
      </c>
      <c r="B7" s="42" t="s">
        <v>33</v>
      </c>
      <c r="C7" s="3" t="s">
        <v>1404</v>
      </c>
      <c r="D7" s="18" t="s">
        <v>1470</v>
      </c>
      <c r="E7" s="19"/>
      <c r="F7" s="15" t="s">
        <v>1471</v>
      </c>
      <c r="G7" s="15" t="s">
        <v>1472</v>
      </c>
      <c r="H7" s="12"/>
      <c r="I7" s="12"/>
      <c r="J7" s="12"/>
      <c r="K7" s="16"/>
      <c r="L7" s="7"/>
      <c r="M7" s="6" t="s">
        <v>4</v>
      </c>
      <c r="N7" s="29" t="str">
        <f>_xlfn.IFS(M7="integer","integer",M7="number","number",M7="boolean","boolean",TRUE,"string")</f>
        <v>string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2"/>
      <c r="B8" s="42"/>
      <c r="C8" s="3" t="s">
        <v>44</v>
      </c>
      <c r="D8" s="18" t="s">
        <v>1473</v>
      </c>
      <c r="E8" s="19"/>
      <c r="F8" s="15" t="s">
        <v>1474</v>
      </c>
      <c r="G8" s="15" t="s">
        <v>1473</v>
      </c>
      <c r="H8" s="12"/>
      <c r="I8" s="12"/>
      <c r="J8" s="12"/>
      <c r="K8" s="16"/>
      <c r="L8" s="7"/>
      <c r="M8" s="6" t="s">
        <v>4</v>
      </c>
      <c r="N8" s="29" t="str">
        <f t="shared" ref="N8:N17" si="0">_xlfn.IFS(M8="integer","integer",M8="number","number",M8="boolean","boolean",TRUE,"string")</f>
        <v>string</v>
      </c>
      <c r="O8" s="29" t="str">
        <f t="shared" ref="O8:O17" si="1">_xlfn.IFS(M8="date","date",M8="markdown","markdown",M8="time", "time",M8="uri","uri",M8="uuid","uuid",TRUE,"")</f>
        <v/>
      </c>
      <c r="P8" s="29"/>
      <c r="Q8" s="19"/>
      <c r="R8" s="1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2"/>
      <c r="B9" s="42"/>
      <c r="C9" s="3" t="s">
        <v>44</v>
      </c>
      <c r="D9" s="18" t="s">
        <v>1475</v>
      </c>
      <c r="E9" s="19"/>
      <c r="F9" s="15" t="s">
        <v>1476</v>
      </c>
      <c r="G9" s="15" t="s">
        <v>1475</v>
      </c>
      <c r="H9" s="12"/>
      <c r="I9" s="12"/>
      <c r="J9" s="12"/>
      <c r="K9" s="16"/>
      <c r="L9" s="7"/>
      <c r="M9" s="6" t="s">
        <v>4</v>
      </c>
      <c r="N9" s="29" t="str">
        <f t="shared" si="0"/>
        <v>string</v>
      </c>
      <c r="O9" s="29" t="str">
        <f t="shared" si="1"/>
        <v/>
      </c>
      <c r="P9" s="29"/>
      <c r="Q9" s="19"/>
      <c r="R9" s="1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2"/>
      <c r="B10" s="42"/>
      <c r="C10" s="3" t="s">
        <v>44</v>
      </c>
      <c r="D10" s="18" t="s">
        <v>1477</v>
      </c>
      <c r="E10" s="19"/>
      <c r="F10" s="15" t="s">
        <v>1478</v>
      </c>
      <c r="G10" s="15" t="s">
        <v>1477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2"/>
      <c r="B11" s="42"/>
      <c r="C11" s="3" t="s">
        <v>44</v>
      </c>
      <c r="D11" s="18" t="s">
        <v>1479</v>
      </c>
      <c r="E11" s="19"/>
      <c r="F11" s="15" t="s">
        <v>1480</v>
      </c>
      <c r="G11" s="15" t="s">
        <v>1479</v>
      </c>
      <c r="H11" s="12"/>
      <c r="I11" s="12"/>
      <c r="J11" s="12"/>
      <c r="K11" s="16"/>
      <c r="L11" s="7"/>
      <c r="M11" s="6" t="s">
        <v>4</v>
      </c>
      <c r="N11" s="29" t="str">
        <f t="shared" si="0"/>
        <v>string</v>
      </c>
      <c r="O11" s="29" t="str">
        <f t="shared" si="1"/>
        <v/>
      </c>
      <c r="P11" s="29"/>
      <c r="Q11" s="19"/>
      <c r="R11" s="19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2"/>
      <c r="B12" s="42"/>
      <c r="C12" s="3" t="s">
        <v>44</v>
      </c>
      <c r="D12" s="18" t="s">
        <v>1481</v>
      </c>
      <c r="E12" s="19"/>
      <c r="F12" s="15" t="s">
        <v>1482</v>
      </c>
      <c r="G12" s="15" t="s">
        <v>1481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2"/>
      <c r="B13" s="42"/>
      <c r="C13" s="3" t="s">
        <v>44</v>
      </c>
      <c r="D13" s="18" t="s">
        <v>1483</v>
      </c>
      <c r="E13" s="19"/>
      <c r="F13" s="15" t="s">
        <v>1484</v>
      </c>
      <c r="G13" s="15" t="s">
        <v>1483</v>
      </c>
      <c r="H13" s="12"/>
      <c r="I13" s="12"/>
      <c r="J13" s="12"/>
      <c r="K13" s="16"/>
      <c r="L13" s="7"/>
      <c r="M13" s="6" t="s">
        <v>4</v>
      </c>
      <c r="N13" s="29" t="str">
        <f t="shared" si="0"/>
        <v>string</v>
      </c>
      <c r="O13" s="29" t="str">
        <f t="shared" si="1"/>
        <v/>
      </c>
      <c r="P13" s="29"/>
      <c r="Q13" s="19"/>
      <c r="R13" s="19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2"/>
      <c r="B14" s="42"/>
      <c r="C14" s="3" t="s">
        <v>44</v>
      </c>
      <c r="D14" s="18" t="s">
        <v>1485</v>
      </c>
      <c r="E14" s="19"/>
      <c r="F14" s="15" t="s">
        <v>1486</v>
      </c>
      <c r="G14" s="15" t="s">
        <v>1485</v>
      </c>
      <c r="H14" s="12"/>
      <c r="I14" s="12"/>
      <c r="J14" s="12"/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/>
      <c r="Q14" s="19"/>
      <c r="R14" s="19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2"/>
      <c r="B15" s="42"/>
      <c r="C15" s="3" t="s">
        <v>44</v>
      </c>
      <c r="D15" s="18" t="s">
        <v>1487</v>
      </c>
      <c r="E15" s="19"/>
      <c r="F15" s="15" t="s">
        <v>1488</v>
      </c>
      <c r="G15" s="15" t="s">
        <v>1487</v>
      </c>
      <c r="H15" s="12"/>
      <c r="I15" s="12"/>
      <c r="J15" s="12"/>
      <c r="K15" s="16"/>
      <c r="L15" s="7"/>
      <c r="M15" s="6" t="s">
        <v>4</v>
      </c>
      <c r="N15" s="29" t="str">
        <f t="shared" si="0"/>
        <v>string</v>
      </c>
      <c r="O15" s="29" t="str">
        <f t="shared" si="1"/>
        <v/>
      </c>
      <c r="P15" s="29"/>
      <c r="Q15" s="19"/>
      <c r="R15" s="19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2"/>
      <c r="B16" s="42"/>
      <c r="C16" s="3" t="s">
        <v>44</v>
      </c>
      <c r="D16" s="18" t="s">
        <v>1489</v>
      </c>
      <c r="E16" s="19"/>
      <c r="F16" s="15" t="s">
        <v>1490</v>
      </c>
      <c r="G16" s="15" t="s">
        <v>1489</v>
      </c>
      <c r="H16" s="12"/>
      <c r="I16" s="12"/>
      <c r="J16" s="12"/>
      <c r="K16" s="16"/>
      <c r="L16" s="7"/>
      <c r="M16" s="6" t="s">
        <v>4</v>
      </c>
      <c r="N16" s="29" t="str">
        <f t="shared" si="0"/>
        <v>string</v>
      </c>
      <c r="O16" s="29" t="str">
        <f t="shared" si="1"/>
        <v/>
      </c>
      <c r="P16" s="29"/>
      <c r="Q16" s="19"/>
      <c r="R16" s="19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2"/>
      <c r="B17" s="42"/>
      <c r="C17" s="3" t="s">
        <v>44</v>
      </c>
      <c r="D17" s="18" t="s">
        <v>1491</v>
      </c>
      <c r="E17" s="19"/>
      <c r="F17" s="15" t="s">
        <v>1492</v>
      </c>
      <c r="G17" s="15" t="s">
        <v>1491</v>
      </c>
      <c r="H17" s="12"/>
      <c r="I17" s="12"/>
      <c r="J17" s="12"/>
      <c r="K17" s="16"/>
      <c r="L17" s="7"/>
      <c r="M17" s="6" t="s">
        <v>4</v>
      </c>
      <c r="N17" s="29" t="str">
        <f t="shared" si="0"/>
        <v>string</v>
      </c>
      <c r="O17" s="29" t="str">
        <f t="shared" si="1"/>
        <v/>
      </c>
      <c r="P17" s="29"/>
      <c r="Q17" s="19"/>
      <c r="R17" s="19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2"/>
      <c r="B18" s="42"/>
      <c r="C18" s="3" t="s">
        <v>44</v>
      </c>
      <c r="D18" s="18"/>
      <c r="E18" s="19"/>
      <c r="F18" s="15"/>
      <c r="G18" s="15"/>
      <c r="H18" s="12"/>
      <c r="I18" s="12"/>
      <c r="J18" s="12"/>
      <c r="K18" s="16"/>
      <c r="L18" s="7"/>
      <c r="M18" s="6" t="s">
        <v>4</v>
      </c>
      <c r="N18" s="29" t="str">
        <f t="shared" ref="N18" si="2">_xlfn.IFS(M18="integer","integer",M18="number","number",M18="boolean","boolean",TRUE,"string")</f>
        <v>string</v>
      </c>
      <c r="O18" s="29" t="str">
        <f t="shared" ref="O18" si="3">_xlfn.IFS(M18="date","date",M18="markdown","markdown",M18="time", "time",M18="uri","uri",M18="uuid","uuid",TRUE,"")</f>
        <v/>
      </c>
      <c r="P18" s="29" t="str">
        <f t="shared" ref="P18" si="4">_xlfn.IFS(M18="textarea","textarea",TRUE,"")</f>
        <v/>
      </c>
      <c r="Q18" s="19"/>
      <c r="R18" s="19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43" t="s">
        <v>1379</v>
      </c>
      <c r="B19" s="42" t="s">
        <v>79</v>
      </c>
      <c r="C19" s="3" t="s">
        <v>44</v>
      </c>
      <c r="D19" s="15" t="s">
        <v>34</v>
      </c>
      <c r="E19" s="19"/>
      <c r="F19" s="15" t="s">
        <v>1432</v>
      </c>
      <c r="G19" s="15" t="s">
        <v>1433</v>
      </c>
      <c r="H19" s="12"/>
      <c r="I19" s="12"/>
      <c r="J19" s="19"/>
      <c r="K19" s="1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>
      <c r="A20" s="44"/>
      <c r="B20" s="42"/>
      <c r="C20" s="3" t="s">
        <v>44</v>
      </c>
      <c r="D20" s="15" t="s">
        <v>35</v>
      </c>
      <c r="E20" s="19"/>
      <c r="F20" s="15" t="s">
        <v>1434</v>
      </c>
      <c r="G20" s="15" t="s">
        <v>1435</v>
      </c>
      <c r="H20" s="12"/>
      <c r="I20" s="12"/>
      <c r="J20" s="19"/>
      <c r="K20" s="17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>
      <c r="A21" s="44"/>
      <c r="B21" s="42"/>
      <c r="C21" s="3" t="s">
        <v>44</v>
      </c>
      <c r="D21" s="15" t="s">
        <v>36</v>
      </c>
      <c r="E21" s="19"/>
      <c r="F21" s="15" t="s">
        <v>1436</v>
      </c>
      <c r="G21" s="15" t="s">
        <v>1437</v>
      </c>
      <c r="H21" s="12"/>
      <c r="I21" s="12"/>
      <c r="J21" s="19"/>
      <c r="K21" s="17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>
      <c r="A22" s="44"/>
      <c r="B22" s="42"/>
      <c r="C22" s="3" t="s">
        <v>44</v>
      </c>
      <c r="D22" s="15" t="s">
        <v>37</v>
      </c>
      <c r="E22" s="19"/>
      <c r="F22" s="15" t="s">
        <v>1438</v>
      </c>
      <c r="G22" s="15" t="s">
        <v>1439</v>
      </c>
      <c r="H22" s="12"/>
      <c r="I22" s="12"/>
      <c r="J22" s="19"/>
      <c r="K22" s="17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>
      <c r="A23" s="44"/>
      <c r="B23" s="42"/>
      <c r="C23" s="3" t="s">
        <v>44</v>
      </c>
      <c r="D23" s="15" t="s">
        <v>38</v>
      </c>
      <c r="E23" s="19"/>
      <c r="F23" s="15" t="s">
        <v>1440</v>
      </c>
      <c r="G23" s="15" t="s">
        <v>1441</v>
      </c>
      <c r="H23" s="12"/>
      <c r="I23" s="12"/>
      <c r="J23" s="19"/>
      <c r="K23" s="17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>
      <c r="A24" s="44"/>
      <c r="B24" s="42"/>
      <c r="C24" s="3" t="s">
        <v>44</v>
      </c>
      <c r="D24" s="15" t="s">
        <v>39</v>
      </c>
      <c r="E24" s="19"/>
      <c r="F24" s="15" t="s">
        <v>1442</v>
      </c>
      <c r="G24" s="15" t="s">
        <v>1443</v>
      </c>
      <c r="H24" s="12"/>
      <c r="I24" s="12"/>
      <c r="J24" s="19"/>
      <c r="K24" s="17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>
      <c r="A25" s="45"/>
      <c r="B25" s="42"/>
      <c r="C25" s="3" t="s">
        <v>44</v>
      </c>
      <c r="D25" s="15" t="s">
        <v>16</v>
      </c>
      <c r="E25" s="19"/>
      <c r="F25" s="15" t="s">
        <v>1444</v>
      </c>
      <c r="G25" s="15" t="s">
        <v>1445</v>
      </c>
      <c r="H25" s="12"/>
      <c r="I25" s="12"/>
      <c r="J25" s="19"/>
      <c r="K25" s="17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>
      <c r="A26" s="43" t="s">
        <v>1380</v>
      </c>
      <c r="B26" s="42" t="s">
        <v>40</v>
      </c>
      <c r="C26" s="3" t="s">
        <v>44</v>
      </c>
      <c r="D26" s="18" t="str">
        <f>IFERROR(INDEX(sample.general_sample_term!A:H,MATCH($E26,sample.general_sample_term!C:C,FALSE),2),"")</f>
        <v>sample.general.general-name</v>
      </c>
      <c r="E26" s="14" t="s">
        <v>1274</v>
      </c>
      <c r="F26" s="18" t="str">
        <f>IFERROR(INDEX(sample.general_sample_term!A:H,MATCH($E26,sample.general_sample_term!C:C,FALSE),3),"")</f>
        <v>一般名称</v>
      </c>
      <c r="G26" s="18" t="str">
        <f>IFERROR(INDEX(sample.general_sample_term!A:H,MATCH($E26,sample.general_sample_term!C:C,FALSE),4),"")</f>
        <v>General name</v>
      </c>
      <c r="H26" s="12"/>
      <c r="I26" s="12"/>
      <c r="J26" s="19"/>
      <c r="K26" s="17"/>
      <c r="L26" s="19"/>
      <c r="M26" s="19"/>
      <c r="N26" s="19"/>
      <c r="O26" s="19"/>
      <c r="P26" s="19"/>
      <c r="Q26" s="19"/>
      <c r="R26" s="19"/>
      <c r="S26" s="19"/>
      <c r="T26" s="19"/>
      <c r="U26" s="18" t="str">
        <f>IFERROR(INDEX(sample.general_sample_term!A:H,MATCH($E26,sample.general_sample_term!C:C,FALSE),5),"")</f>
        <v>一般名称を入力してください</v>
      </c>
      <c r="V26" s="18" t="str">
        <f>IFERROR(INDEX(sample.general_sample_term!A:H,MATCH($E26,sample.general_sample_term!C:C,FALSE),6),"")</f>
        <v>Please enter General name</v>
      </c>
      <c r="W26" s="19"/>
      <c r="X26" s="19"/>
      <c r="Y26" s="19"/>
      <c r="Z26" s="19"/>
      <c r="AA26" s="19"/>
      <c r="AB26" s="19"/>
      <c r="AC26" s="19"/>
    </row>
    <row r="27" spans="1:29">
      <c r="A27" s="44"/>
      <c r="B27" s="42"/>
      <c r="C27" s="3" t="s">
        <v>44</v>
      </c>
      <c r="D27" s="18" t="str">
        <f>IFERROR(INDEX(sample.general_sample_term!A:H,MATCH($E27,sample.general_sample_term!C:C,FALSE),2),"")</f>
        <v>sample.general.cas-number</v>
      </c>
      <c r="E27" s="14" t="s">
        <v>1160</v>
      </c>
      <c r="F27" s="18" t="str">
        <f>IFERROR(INDEX(sample.general_sample_term!A:H,MATCH($E27,sample.general_sample_term!C:C,FALSE),3),"")</f>
        <v>CAS番号</v>
      </c>
      <c r="G27" s="18" t="str">
        <f>IFERROR(INDEX(sample.general_sample_term!A:H,MATCH($E27,sample.general_sample_term!C:C,FALSE),4),"")</f>
        <v>CAS Number</v>
      </c>
      <c r="H27" s="12"/>
      <c r="I27" s="12"/>
      <c r="J27" s="19"/>
      <c r="K27" s="17"/>
      <c r="L27" s="19"/>
      <c r="M27" s="19"/>
      <c r="N27" s="19"/>
      <c r="O27" s="19"/>
      <c r="P27" s="19"/>
      <c r="Q27" s="19"/>
      <c r="R27" s="19"/>
      <c r="S27" s="19"/>
      <c r="T27" s="19"/>
      <c r="U27" s="18" t="str">
        <f>IFERROR(INDEX(sample.general_sample_term!A:H,MATCH($E27,sample.general_sample_term!C:C,FALSE),5),"")</f>
        <v>CAS番号を入力してください</v>
      </c>
      <c r="V27" s="18" t="str">
        <f>IFERROR(INDEX(sample.general_sample_term!A:H,MATCH($E27,sample.general_sample_term!C:C,FALSE),6),"")</f>
        <v>Please enter CAS Number</v>
      </c>
      <c r="W27" s="19"/>
      <c r="X27" s="19"/>
      <c r="Y27" s="19"/>
      <c r="Z27" s="19"/>
      <c r="AA27" s="19"/>
      <c r="AB27" s="19"/>
      <c r="AC27" s="19"/>
    </row>
    <row r="28" spans="1:29">
      <c r="A28" s="44"/>
      <c r="B28" s="42"/>
      <c r="C28" s="3" t="s">
        <v>44</v>
      </c>
      <c r="D28" s="18" t="str">
        <f>IFERROR(INDEX(sample.general_sample_term!A:H,MATCH($E28,sample.general_sample_term!C:C,FALSE),2),"")</f>
        <v>sample.general.crystal-structure</v>
      </c>
      <c r="E28" s="14" t="s">
        <v>1175</v>
      </c>
      <c r="F28" s="18" t="str">
        <f>IFERROR(INDEX(sample.general_sample_term!A:H,MATCH($E28,sample.general_sample_term!C:C,FALSE),3),"")</f>
        <v>結晶構造</v>
      </c>
      <c r="G28" s="18" t="str">
        <f>IFERROR(INDEX(sample.general_sample_term!A:H,MATCH($E28,sample.general_sample_term!C:C,FALSE),4),"")</f>
        <v>Crystal structure</v>
      </c>
      <c r="H28" s="12"/>
      <c r="I28" s="12"/>
      <c r="J28" s="19"/>
      <c r="K28" s="17"/>
      <c r="L28" s="19"/>
      <c r="M28" s="19"/>
      <c r="N28" s="19"/>
      <c r="O28" s="19"/>
      <c r="P28" s="19"/>
      <c r="Q28" s="19"/>
      <c r="R28" s="19"/>
      <c r="S28" s="19"/>
      <c r="T28" s="19"/>
      <c r="U28" s="18" t="str">
        <f>IFERROR(INDEX(sample.general_sample_term!A:H,MATCH($E28,sample.general_sample_term!C:C,FALSE),5),"")</f>
        <v>結晶構造を入力してください</v>
      </c>
      <c r="V28" s="18" t="str">
        <f>IFERROR(INDEX(sample.general_sample_term!A:H,MATCH($E28,sample.general_sample_term!C:C,FALSE),6),"")</f>
        <v>Please enter Crystal structure</v>
      </c>
      <c r="W28" s="19"/>
      <c r="X28" s="19"/>
      <c r="Y28" s="19"/>
      <c r="Z28" s="19"/>
      <c r="AA28" s="19"/>
      <c r="AB28" s="19"/>
      <c r="AC28" s="19"/>
    </row>
    <row r="29" spans="1:29">
      <c r="A29" s="44"/>
      <c r="B29" s="42"/>
      <c r="C29" s="3" t="s">
        <v>44</v>
      </c>
      <c r="D29" s="18" t="str">
        <f>IFERROR(INDEX(sample.general_sample_term!A:H,MATCH($E29,sample.general_sample_term!C:C,FALSE),2),"")</f>
        <v>sample.general.sample-shape</v>
      </c>
      <c r="E29" s="14" t="s">
        <v>1191</v>
      </c>
      <c r="F29" s="18" t="str">
        <f>IFERROR(INDEX(sample.general_sample_term!A:H,MATCH($E29,sample.general_sample_term!C:C,FALSE),3),"")</f>
        <v>試料形状</v>
      </c>
      <c r="G29" s="18" t="str">
        <f>IFERROR(INDEX(sample.general_sample_term!A:H,MATCH($E29,sample.general_sample_term!C:C,FALSE),4),"")</f>
        <v>Sample shape</v>
      </c>
      <c r="H29" s="12"/>
      <c r="I29" s="12"/>
      <c r="J29" s="19"/>
      <c r="K29" s="17"/>
      <c r="L29" s="19"/>
      <c r="M29" s="19"/>
      <c r="N29" s="19"/>
      <c r="O29" s="19"/>
      <c r="P29" s="19"/>
      <c r="Q29" s="19"/>
      <c r="R29" s="19"/>
      <c r="S29" s="19"/>
      <c r="T29" s="19"/>
      <c r="U29" s="18" t="str">
        <f>IFERROR(INDEX(sample.general_sample_term!A:H,MATCH($E29,sample.general_sample_term!C:C,FALSE),5),"")</f>
        <v>試料形状を入力してください</v>
      </c>
      <c r="V29" s="18" t="str">
        <f>IFERROR(INDEX(sample.general_sample_term!A:H,MATCH($E29,sample.general_sample_term!C:C,FALSE),6),"")</f>
        <v>Please enter Sample shape</v>
      </c>
      <c r="W29" s="19"/>
      <c r="X29" s="19"/>
      <c r="Y29" s="19"/>
      <c r="Z29" s="19"/>
      <c r="AA29" s="19"/>
      <c r="AB29" s="19"/>
      <c r="AC29" s="19"/>
    </row>
    <row r="30" spans="1:29">
      <c r="A30" s="44"/>
      <c r="B30" s="42"/>
      <c r="C30" s="3" t="s">
        <v>44</v>
      </c>
      <c r="D30" s="18" t="str">
        <f>IFERROR(INDEX(sample.general_sample_term!A:H,MATCH($E30,sample.general_sample_term!C:C,FALSE),2),"")</f>
        <v>sample.general.purchase-date</v>
      </c>
      <c r="E30" s="14" t="s">
        <v>1165</v>
      </c>
      <c r="F30" s="18" t="str">
        <f>IFERROR(INDEX(sample.general_sample_term!A:H,MATCH($E30,sample.general_sample_term!C:C,FALSE),3),"")</f>
        <v>試料購入日</v>
      </c>
      <c r="G30" s="18" t="str">
        <f>IFERROR(INDEX(sample.general_sample_term!A:H,MATCH($E30,sample.general_sample_term!C:C,FALSE),4),"")</f>
        <v>Purchase date</v>
      </c>
      <c r="H30" s="12"/>
      <c r="I30" s="12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8" t="str">
        <f>IFERROR(INDEX(sample.general_sample_term!A:H,MATCH($E30,sample.general_sample_term!C:C,FALSE),5),"")</f>
        <v>試料購入日を入力してください</v>
      </c>
      <c r="V30" s="18" t="str">
        <f>IFERROR(INDEX(sample.general_sample_term!A:H,MATCH($E30,sample.general_sample_term!C:C,FALSE),6),"")</f>
        <v>Please enter Purchase date</v>
      </c>
      <c r="W30" s="19"/>
      <c r="X30" s="19"/>
      <c r="Y30" s="19"/>
      <c r="Z30" s="19"/>
      <c r="AA30" s="19"/>
      <c r="AB30" s="19"/>
      <c r="AC30" s="19"/>
    </row>
    <row r="31" spans="1:29">
      <c r="A31" s="44"/>
      <c r="B31" s="42"/>
      <c r="C31" s="3" t="s">
        <v>44</v>
      </c>
      <c r="D31" s="18" t="str">
        <f>IFERROR(INDEX(sample.general_sample_term!A:H,MATCH($E31,sample.general_sample_term!C:C,FALSE),2),"")</f>
        <v>sample.general.supplier</v>
      </c>
      <c r="E31" s="14" t="s">
        <v>834</v>
      </c>
      <c r="F31" s="18" t="str">
        <f>IFERROR(INDEX(sample.general_sample_term!A:H,MATCH($E31,sample.general_sample_term!C:C,FALSE),3),"")</f>
        <v>購入元</v>
      </c>
      <c r="G31" s="18" t="str">
        <f>IFERROR(INDEX(sample.general_sample_term!A:H,MATCH($E31,sample.general_sample_term!C:C,FALSE),4),"")</f>
        <v>Supplier</v>
      </c>
      <c r="H31" s="12"/>
      <c r="I31" s="12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8" t="str">
        <f>IFERROR(INDEX(sample.general_sample_term!A:H,MATCH($E31,sample.general_sample_term!C:C,FALSE),5),"")</f>
        <v/>
      </c>
      <c r="V31" s="18" t="str">
        <f>IFERROR(INDEX(sample.general_sample_term!A:H,MATCH($E31,sample.general_sample_term!C:C,FALSE),6),"")</f>
        <v/>
      </c>
      <c r="W31" s="19"/>
      <c r="X31" s="19"/>
      <c r="Y31" s="19"/>
      <c r="Z31" s="19"/>
      <c r="AA31" s="19"/>
      <c r="AB31" s="19"/>
      <c r="AC31" s="19"/>
    </row>
    <row r="32" spans="1:29">
      <c r="A32" s="44"/>
      <c r="B32" s="42"/>
      <c r="C32" s="3" t="s">
        <v>44</v>
      </c>
      <c r="D32" s="18" t="str">
        <f>IFERROR(INDEX(sample.general_sample_term!A:H,MATCH($E32,sample.general_sample_term!C:C,FALSE),2),"")</f>
        <v>sample.general.lot-number-or-product-number-etc</v>
      </c>
      <c r="E32" s="14" t="s">
        <v>1156</v>
      </c>
      <c r="F32" s="18" t="str">
        <f>IFERROR(INDEX(sample.general_sample_term!A:H,MATCH($E32,sample.general_sample_term!C:C,FALSE),3),"")</f>
        <v>ロット番号、製造番号など</v>
      </c>
      <c r="G32" s="18" t="str">
        <f>IFERROR(INDEX(sample.general_sample_term!A:H,MATCH($E32,sample.general_sample_term!C:C,FALSE),4),"")</f>
        <v>Lot number or product number etc</v>
      </c>
      <c r="H32" s="12"/>
      <c r="I32" s="12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8" t="str">
        <f>IFERROR(INDEX(sample.general_sample_term!A:H,MATCH($E32,sample.general_sample_term!C:C,FALSE),5),"")</f>
        <v/>
      </c>
      <c r="V32" s="18" t="str">
        <f>IFERROR(INDEX(sample.general_sample_term!A:H,MATCH($E32,sample.general_sample_term!C:C,FALSE),6),"")</f>
        <v/>
      </c>
      <c r="W32" s="19"/>
      <c r="X32" s="19"/>
      <c r="Y32" s="19"/>
      <c r="Z32" s="19"/>
      <c r="AA32" s="19"/>
      <c r="AB32" s="19"/>
      <c r="AC32" s="19"/>
    </row>
    <row r="33" spans="1:29">
      <c r="A33" s="44"/>
      <c r="B33" s="42"/>
      <c r="C33" s="3" t="s">
        <v>44</v>
      </c>
      <c r="D33" s="18" t="str">
        <f>IFERROR(INDEX(sample.general_sample_term!A:H,MATCH($E33,sample.general_sample_term!C:C,FALSE),2),"")</f>
        <v/>
      </c>
      <c r="E33" s="14"/>
      <c r="F33" s="18" t="str">
        <f>IFERROR(INDEX(sample.general_sample_term!A:H,MATCH($E33,sample.general_sample_term!C:C,FALSE),3),"")</f>
        <v/>
      </c>
      <c r="G33" s="18" t="str">
        <f>IFERROR(INDEX(sample.general_sample_term!A:H,MATCH($E33,sample.general_sample_term!C:C,FALSE),4),"")</f>
        <v/>
      </c>
      <c r="H33" s="12"/>
      <c r="I33" s="12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8" t="str">
        <f>IFERROR(INDEX(sample.general_sample_term!A:H,MATCH($E33,sample.general_sample_term!C:C,FALSE),5),"")</f>
        <v/>
      </c>
      <c r="V33" s="18" t="str">
        <f>IFERROR(INDEX(sample.general_sample_term!A:H,MATCH($E33,sample.general_sample_term!C:C,FALSE),6),"")</f>
        <v/>
      </c>
      <c r="W33" s="19"/>
      <c r="X33" s="19"/>
      <c r="Y33" s="19"/>
      <c r="Z33" s="19"/>
      <c r="AA33" s="19"/>
      <c r="AB33" s="19"/>
      <c r="AC33" s="19"/>
    </row>
    <row r="34" spans="1:29">
      <c r="A34" s="45"/>
      <c r="B34" s="42"/>
      <c r="C34" s="3" t="s">
        <v>44</v>
      </c>
      <c r="D34" s="18" t="str">
        <f>IFERROR(INDEX(sample.general_sample_term!A:H,MATCH($E34,sample.general_sample_term!C:C,FALSE),2),"")</f>
        <v/>
      </c>
      <c r="E34" s="14"/>
      <c r="F34" s="18" t="str">
        <f>IFERROR(INDEX(sample.general_sample_term!A:H,MATCH($E34,sample.general_sample_term!C:C,FALSE),3),"")</f>
        <v/>
      </c>
      <c r="G34" s="18" t="str">
        <f>IFERROR(INDEX(sample.general_sample_term!A:H,MATCH($E34,sample.general_sample_term!C:C,FALSE),4),"")</f>
        <v/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8" t="str">
        <f>IFERROR(INDEX(sample.general_sample_term!A:H,MATCH($E34,sample.general_sample_term!C:C,FALSE),5),"")</f>
        <v/>
      </c>
      <c r="V34" s="18" t="str">
        <f>IFERROR(INDEX(sample.general_sample_term!A:H,MATCH($E34,sample.general_sample_term!C:C,FALSE),6),"")</f>
        <v/>
      </c>
      <c r="W34" s="19"/>
      <c r="X34" s="19"/>
      <c r="Y34" s="19"/>
      <c r="Z34" s="19"/>
      <c r="AA34" s="19"/>
      <c r="AB34" s="19"/>
      <c r="AC34" s="19"/>
    </row>
    <row r="35" spans="1:29">
      <c r="A35" s="43" t="s">
        <v>1381</v>
      </c>
      <c r="B35" s="42" t="s">
        <v>41</v>
      </c>
      <c r="C35" s="3" t="s">
        <v>44</v>
      </c>
      <c r="D35" s="18" t="str">
        <f>IFERROR(INDEX(sample.specific_sample_term!A:M,MATCH($E35,sample.specific_sample_term!L:L,FALSE),3),"")</f>
        <v/>
      </c>
      <c r="E35" s="14"/>
      <c r="F35" s="18" t="str">
        <f>IFERROR(INDEX(sample.specific_sample_term!A:M,MATCH($E35,sample.specific_sample_term!L:L,FALSE),12),"")</f>
        <v/>
      </c>
      <c r="G35" s="18" t="str">
        <f>IFERROR(INDEX(sample.specific_sample_term!A:M,MATCH($E35,sample.specific_sample_term!L:L,FALSE),13),"")</f>
        <v/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8" t="str">
        <f>IFERROR(INDEX(sample.specific_sample_term!A:M,MATCH($E35,sample.specific_sample_term!L:L,FALSE),8),"")</f>
        <v/>
      </c>
      <c r="V35" s="18" t="str">
        <f>IFERROR(INDEX(sample.specific_sample_term!A:M,MATCH($E35,sample.specific_sample_term!L:L,FALSE),9),"")</f>
        <v/>
      </c>
      <c r="W35" s="19"/>
      <c r="X35" s="19"/>
      <c r="Y35" s="19"/>
      <c r="Z35" s="19"/>
      <c r="AA35" s="19"/>
      <c r="AB35" s="19"/>
      <c r="AC35" s="19"/>
    </row>
    <row r="36" spans="1:29">
      <c r="A36" s="44"/>
      <c r="B36" s="42"/>
      <c r="C36" s="3" t="s">
        <v>44</v>
      </c>
      <c r="D36" s="18" t="str">
        <f>IFERROR(INDEX(sample.specific_sample_term!A:M,MATCH($E36,sample.specific_sample_term!L:L,FALSE),3),"")</f>
        <v/>
      </c>
      <c r="E36" s="14"/>
      <c r="F36" s="18" t="str">
        <f>IFERROR(INDEX(sample.specific_sample_term!A:M,MATCH($E36,sample.specific_sample_term!L:L,FALSE),12),"")</f>
        <v/>
      </c>
      <c r="G36" s="18" t="str">
        <f>IFERROR(INDEX(sample.specific_sample_term!A:M,MATCH($E36,sample.specific_sample_term!L:L,FALSE),13),"")</f>
        <v/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8" t="str">
        <f>IFERROR(INDEX(sample.specific_sample_term!A:M,MATCH($E36,sample.specific_sample_term!L:L,FALSE),8),"")</f>
        <v/>
      </c>
      <c r="V36" s="18" t="str">
        <f>IFERROR(INDEX(sample.specific_sample_term!A:M,MATCH($E36,sample.specific_sample_term!L:L,FALSE),9),"")</f>
        <v/>
      </c>
      <c r="W36" s="19"/>
      <c r="X36" s="19"/>
      <c r="Y36" s="19"/>
      <c r="Z36" s="19"/>
      <c r="AA36" s="19"/>
      <c r="AB36" s="19"/>
      <c r="AC36" s="19"/>
    </row>
    <row r="37" spans="1:29">
      <c r="A37" s="44"/>
      <c r="B37" s="42"/>
      <c r="C37" s="3" t="s">
        <v>44</v>
      </c>
      <c r="D37" s="18" t="str">
        <f>IFERROR(INDEX(sample.specific_sample_term!A:M,MATCH($E37,sample.specific_sample_term!L:L,FALSE),3),"")</f>
        <v/>
      </c>
      <c r="E37" s="14"/>
      <c r="F37" s="18" t="str">
        <f>IFERROR(INDEX(sample.specific_sample_term!A:M,MATCH($E37,sample.specific_sample_term!L:L,FALSE),12),"")</f>
        <v/>
      </c>
      <c r="G37" s="18" t="str">
        <f>IFERROR(INDEX(sample.specific_sample_term!A:M,MATCH($E37,sample.specific_sample_term!L:L,FALSE),13),"")</f>
        <v/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8" t="str">
        <f>IFERROR(INDEX(sample.specific_sample_term!A:M,MATCH($E37,sample.specific_sample_term!L:L,FALSE),8),"")</f>
        <v/>
      </c>
      <c r="V37" s="18" t="str">
        <f>IFERROR(INDEX(sample.specific_sample_term!A:M,MATCH($E37,sample.specific_sample_term!L:L,FALSE),9),"")</f>
        <v/>
      </c>
      <c r="W37" s="19"/>
      <c r="X37" s="19"/>
      <c r="Y37" s="19"/>
      <c r="Z37" s="19"/>
      <c r="AA37" s="19"/>
      <c r="AB37" s="19"/>
      <c r="AC37" s="19"/>
    </row>
    <row r="38" spans="1:29">
      <c r="A38" s="44"/>
      <c r="B38" s="42"/>
      <c r="C38" s="3" t="s">
        <v>44</v>
      </c>
      <c r="D38" s="18" t="str">
        <f>IFERROR(INDEX(sample.specific_sample_term!A:M,MATCH($E38,sample.specific_sample_term!L:L,FALSE),3),"")</f>
        <v/>
      </c>
      <c r="E38" s="14"/>
      <c r="F38" s="18" t="str">
        <f>IFERROR(INDEX(sample.specific_sample_term!A:M,MATCH($E38,sample.specific_sample_term!L:L,FALSE),12),"")</f>
        <v/>
      </c>
      <c r="G38" s="18" t="str">
        <f>IFERROR(INDEX(sample.specific_sample_term!A:M,MATCH($E38,sample.specific_sample_term!L:L,FALSE),13),"")</f>
        <v/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8" t="str">
        <f>IFERROR(INDEX(sample.specific_sample_term!A:M,MATCH($E38,sample.specific_sample_term!L:L,FALSE),8),"")</f>
        <v/>
      </c>
      <c r="V38" s="18" t="str">
        <f>IFERROR(INDEX(sample.specific_sample_term!A:M,MATCH($E38,sample.specific_sample_term!L:L,FALSE),9),"")</f>
        <v/>
      </c>
      <c r="W38" s="19"/>
      <c r="X38" s="19"/>
      <c r="Y38" s="19"/>
      <c r="Z38" s="19"/>
      <c r="AA38" s="19"/>
      <c r="AB38" s="19"/>
      <c r="AC38" s="19"/>
    </row>
    <row r="39" spans="1:29">
      <c r="A39" s="44"/>
      <c r="B39" s="42"/>
      <c r="C39" s="3" t="s">
        <v>44</v>
      </c>
      <c r="D39" s="18" t="str">
        <f>IFERROR(INDEX(sample.specific_sample_term!A:M,MATCH($E39,sample.specific_sample_term!L:L,FALSE),3),"")</f>
        <v/>
      </c>
      <c r="E39" s="14"/>
      <c r="F39" s="18" t="str">
        <f>IFERROR(INDEX(sample.specific_sample_term!A:M,MATCH($E39,sample.specific_sample_term!L:L,FALSE),12),"")</f>
        <v/>
      </c>
      <c r="G39" s="18" t="str">
        <f>IFERROR(INDEX(sample.specific_sample_term!A:M,MATCH($E39,sample.specific_sample_term!L:L,FALSE),13),"")</f>
        <v/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8" t="str">
        <f>IFERROR(INDEX(sample.specific_sample_term!A:M,MATCH($E39,sample.specific_sample_term!L:L,FALSE),8),"")</f>
        <v/>
      </c>
      <c r="V39" s="18" t="str">
        <f>IFERROR(INDEX(sample.specific_sample_term!A:M,MATCH($E39,sample.specific_sample_term!L:L,FALSE),9),"")</f>
        <v/>
      </c>
      <c r="W39" s="19"/>
      <c r="X39" s="19"/>
      <c r="Y39" s="19"/>
      <c r="Z39" s="19"/>
      <c r="AA39" s="19"/>
      <c r="AB39" s="19"/>
      <c r="AC39" s="19"/>
    </row>
    <row r="40" spans="1:29">
      <c r="A40" s="44"/>
      <c r="B40" s="42"/>
      <c r="C40" s="3" t="s">
        <v>44</v>
      </c>
      <c r="D40" s="18" t="str">
        <f>IFERROR(INDEX(sample.specific_sample_term!A:M,MATCH($E40,sample.specific_sample_term!L:L,FALSE),3),"")</f>
        <v/>
      </c>
      <c r="E40" s="14"/>
      <c r="F40" s="18" t="str">
        <f>IFERROR(INDEX(sample.specific_sample_term!A:M,MATCH($E40,sample.specific_sample_term!L:L,FALSE),12),"")</f>
        <v/>
      </c>
      <c r="G40" s="18" t="str">
        <f>IFERROR(INDEX(sample.specific_sample_term!A:M,MATCH($E40,sample.specific_sample_term!L:L,FALSE),13),"")</f>
        <v/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8" t="str">
        <f>IFERROR(INDEX(sample.specific_sample_term!A:M,MATCH($E40,sample.specific_sample_term!L:L,FALSE),8),"")</f>
        <v/>
      </c>
      <c r="V40" s="18" t="str">
        <f>IFERROR(INDEX(sample.specific_sample_term!A:M,MATCH($E40,sample.specific_sample_term!L:L,FALSE),9),"")</f>
        <v/>
      </c>
      <c r="W40" s="19"/>
      <c r="X40" s="19"/>
      <c r="Y40" s="19"/>
      <c r="Z40" s="19"/>
      <c r="AA40" s="19"/>
      <c r="AB40" s="19"/>
      <c r="AC40" s="19"/>
    </row>
    <row r="41" spans="1:29">
      <c r="A41" s="44"/>
      <c r="B41" s="42"/>
      <c r="C41" s="3" t="s">
        <v>44</v>
      </c>
      <c r="D41" s="18" t="str">
        <f>IFERROR(INDEX(sample.specific_sample_term!A:M,MATCH($E41,sample.specific_sample_term!L:L,FALSE),3),"")</f>
        <v/>
      </c>
      <c r="E41" s="14"/>
      <c r="F41" s="18" t="str">
        <f>IFERROR(INDEX(sample.specific_sample_term!A:M,MATCH($E41,sample.specific_sample_term!L:L,FALSE),12),"")</f>
        <v/>
      </c>
      <c r="G41" s="18" t="str">
        <f>IFERROR(INDEX(sample.specific_sample_term!A:M,MATCH($E41,sample.specific_sample_term!L:L,FALSE),13),"")</f>
        <v/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8" t="str">
        <f>IFERROR(INDEX(sample.specific_sample_term!A:M,MATCH($E41,sample.specific_sample_term!L:L,FALSE),8),"")</f>
        <v/>
      </c>
      <c r="V41" s="18" t="str">
        <f>IFERROR(INDEX(sample.specific_sample_term!A:M,MATCH($E41,sample.specific_sample_term!L:L,FALSE),9),"")</f>
        <v/>
      </c>
      <c r="W41" s="19"/>
      <c r="X41" s="19"/>
      <c r="Y41" s="19"/>
      <c r="Z41" s="19"/>
      <c r="AA41" s="19"/>
      <c r="AB41" s="19"/>
      <c r="AC41" s="19"/>
    </row>
    <row r="42" spans="1:29">
      <c r="A42" s="44"/>
      <c r="B42" s="42"/>
      <c r="C42" s="3" t="s">
        <v>44</v>
      </c>
      <c r="D42" s="18" t="str">
        <f>IFERROR(INDEX(sample.specific_sample_term!A:M,MATCH($E42,sample.specific_sample_term!L:L,FALSE),3),"")</f>
        <v/>
      </c>
      <c r="E42" s="14"/>
      <c r="F42" s="18" t="str">
        <f>IFERROR(INDEX(sample.specific_sample_term!A:M,MATCH($E42,sample.specific_sample_term!L:L,FALSE),12),"")</f>
        <v/>
      </c>
      <c r="G42" s="18" t="str">
        <f>IFERROR(INDEX(sample.specific_sample_term!A:M,MATCH($E42,sample.specific_sample_term!L:L,FALSE),13),"")</f>
        <v/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IFERROR(INDEX(sample.specific_sample_term!A:M,MATCH($E42,sample.specific_sample_term!L:L,FALSE),8),"")</f>
        <v/>
      </c>
      <c r="V42" s="18" t="str">
        <f>IFERROR(INDEX(sample.specific_sample_term!A:M,MATCH($E42,sample.specific_sample_term!L:L,FALSE),9),"")</f>
        <v/>
      </c>
      <c r="W42" s="19"/>
      <c r="X42" s="19"/>
      <c r="Y42" s="19"/>
      <c r="Z42" s="19"/>
      <c r="AA42" s="19"/>
      <c r="AB42" s="19"/>
      <c r="AC42" s="19"/>
    </row>
    <row r="43" spans="1:29">
      <c r="A43" s="45"/>
      <c r="B43" s="42"/>
      <c r="C43" s="3" t="s">
        <v>44</v>
      </c>
      <c r="D43" s="18" t="str">
        <f>IFERROR(INDEX(sample.specific_sample_term!A:M,MATCH($E43,sample.specific_sample_term!L:L,FALSE),3),"")</f>
        <v/>
      </c>
      <c r="E43" s="14"/>
      <c r="F43" s="18" t="str">
        <f>IFERROR(INDEX(sample.specific_sample_term!A:M,MATCH($E43,sample.specific_sample_term!L:L,FALSE),12),"")</f>
        <v/>
      </c>
      <c r="G43" s="18" t="str">
        <f>IFERROR(INDEX(sample.specific_sample_term!A:M,MATCH($E43,sample.specific_sample_term!L:L,FALSE),13),"")</f>
        <v/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IFERROR(INDEX(sample.specific_sample_term!A:M,MATCH($E43,sample.specific_sample_term!L:L,FALSE),8),"")</f>
        <v/>
      </c>
      <c r="V43" s="18" t="str">
        <f>IFERROR(INDEX(sample.specific_sample_term!A:M,MATCH($E43,sample.specific_sample_term!L:L,FALSE),9),"")</f>
        <v/>
      </c>
      <c r="W43" s="19"/>
      <c r="X43" s="19"/>
      <c r="Y43" s="19"/>
      <c r="Z43" s="19"/>
      <c r="AA43" s="19"/>
      <c r="AB43" s="19"/>
      <c r="AC43" s="19"/>
    </row>
  </sheetData>
  <mergeCells count="11">
    <mergeCell ref="B1:E1"/>
    <mergeCell ref="B3:E3"/>
    <mergeCell ref="A7:A18"/>
    <mergeCell ref="B26:B34"/>
    <mergeCell ref="B19:B25"/>
    <mergeCell ref="B2:E2"/>
    <mergeCell ref="B35:B43"/>
    <mergeCell ref="B7:B18"/>
    <mergeCell ref="A19:A25"/>
    <mergeCell ref="A26:A34"/>
    <mergeCell ref="A35:A43"/>
  </mergeCells>
  <phoneticPr fontId="2"/>
  <conditionalFormatting sqref="B1:E1">
    <cfRule type="expression" dxfId="21" priority="1" stopIfTrue="1">
      <formula>ISBLANK(B1)</formula>
    </cfRule>
  </conditionalFormatting>
  <conditionalFormatting sqref="C7:C43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D19:D25">
    <cfRule type="expression" dxfId="18" priority="3">
      <formula>AND($C19="ON",ISBLANK(D19))</formula>
    </cfRule>
  </conditionalFormatting>
  <conditionalFormatting sqref="M7:M18 F7:G25 E26:E43">
    <cfRule type="expression" dxfId="17" priority="17">
      <formula>AND($C7="ON",ISBLANK(E7))</formula>
    </cfRule>
  </conditionalFormatting>
  <conditionalFormatting sqref="N7:O18">
    <cfRule type="cellIs" dxfId="16" priority="16" operator="equal">
      <formula>"ON"</formula>
    </cfRule>
  </conditionalFormatting>
  <conditionalFormatting sqref="Q7:Q18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18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18" xr:uid="{2D4AA448-C361-40D4-AD5E-FB8A11DF009A}">
      <formula1>"　,TRUE"</formula1>
    </dataValidation>
    <dataValidation type="list" allowBlank="1" showInputMessage="1" showErrorMessage="1" sqref="M7:M18" xr:uid="{5FE6F0C0-307E-46F0-BDAA-579DADBA61A0}">
      <formula1>"string,textarea,number,integer,list,date,markdown,time,boolean,uri,uuid"</formula1>
    </dataValidation>
    <dataValidation type="list" allowBlank="1" showInputMessage="1" showErrorMessage="1" sqref="C7:C43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E26:E34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E35:E43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https://rde.nims.go.jp/rde/dataset-templates/RDEDatasetTemplateSheet_RDE_SIMPLE_REGISTRATION_dt0004/catalog.schema.json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標準データセットテンプレートRDE_SIMPLE_REGISTRATIONのdt0004用RDEデータセットテンプレート: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RDEDatasetTemplateSheet_RDE_SIMPLE_REGISTRATION_dt0004:データカタログ定義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RDEDatasetTemplateSheet_RDE_SIMPLE_REGISTRATION_dt0004:data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1395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1399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1398</v>
      </c>
      <c r="H8" s="2" t="s">
        <v>1400</v>
      </c>
      <c r="I8" s="2" t="s">
        <v>1397</v>
      </c>
      <c r="J8" s="2" t="s">
        <v>1401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1430</v>
      </c>
      <c r="B9" s="3" t="s">
        <v>1404</v>
      </c>
      <c r="C9" s="10" t="s">
        <v>1405</v>
      </c>
      <c r="D9" s="10" t="s">
        <v>1406</v>
      </c>
      <c r="E9" s="10" t="s">
        <v>1407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1404</v>
      </c>
      <c r="C10" s="10" t="s">
        <v>1408</v>
      </c>
      <c r="D10" s="10" t="s">
        <v>1409</v>
      </c>
      <c r="E10" s="10" t="s">
        <v>1410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1404</v>
      </c>
      <c r="C11" s="10" t="s">
        <v>1412</v>
      </c>
      <c r="D11" s="10" t="s">
        <v>1411</v>
      </c>
      <c r="E11" s="10" t="s">
        <v>1413</v>
      </c>
      <c r="F11" s="7" t="s">
        <v>56</v>
      </c>
      <c r="G11" s="6" t="s">
        <v>1428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1404</v>
      </c>
      <c r="C12" s="10" t="s">
        <v>1414</v>
      </c>
      <c r="D12" s="10" t="s">
        <v>1415</v>
      </c>
      <c r="E12" s="10" t="s">
        <v>1416</v>
      </c>
      <c r="F12" s="7" t="s">
        <v>56</v>
      </c>
      <c r="G12" s="6" t="s">
        <v>1428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1414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1404</v>
      </c>
      <c r="C13" s="10" t="s">
        <v>1417</v>
      </c>
      <c r="D13" s="10" t="s">
        <v>1418</v>
      </c>
      <c r="E13" s="10" t="s">
        <v>1419</v>
      </c>
      <c r="F13" s="7" t="s">
        <v>56</v>
      </c>
      <c r="G13" s="6" t="s">
        <v>1428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1404</v>
      </c>
      <c r="C14" s="10" t="s">
        <v>1420</v>
      </c>
      <c r="D14" s="10" t="s">
        <v>1421</v>
      </c>
      <c r="E14" s="10" t="s">
        <v>1422</v>
      </c>
      <c r="F14" s="7" t="s">
        <v>56</v>
      </c>
      <c r="G14" s="6" t="s">
        <v>1428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1420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1404</v>
      </c>
      <c r="C15" s="10" t="s">
        <v>1423</v>
      </c>
      <c r="D15" s="10" t="s">
        <v>1424</v>
      </c>
      <c r="E15" s="10" t="s">
        <v>1425</v>
      </c>
      <c r="F15" s="7" t="s">
        <v>56</v>
      </c>
      <c r="G15" s="6" t="s">
        <v>1428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1423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1404</v>
      </c>
      <c r="C16" s="10" t="s">
        <v>1450</v>
      </c>
      <c r="D16" s="10" t="s">
        <v>1426</v>
      </c>
      <c r="E16" s="10" t="s">
        <v>1427</v>
      </c>
      <c r="F16" s="7" t="s">
        <v>56</v>
      </c>
      <c r="G16" s="6" t="s">
        <v>1428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1450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2025-12-25T01:57:31Z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